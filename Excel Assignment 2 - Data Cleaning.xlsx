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OneDrive\Desktop\"/>
    </mc:Choice>
  </mc:AlternateContent>
  <xr:revisionPtr revIDLastSave="0" documentId="8_{0977C6F1-DE37-40D7-BDA6-2B7E603EF5EB}" xr6:coauthVersionLast="47" xr6:coauthVersionMax="47" xr10:uidLastSave="{00000000-0000-0000-0000-000000000000}"/>
  <bookViews>
    <workbookView xWindow="-120" yWindow="-120" windowWidth="20730" windowHeight="11040" activeTab="6" xr2:uid="{00000000-000D-0000-FFFF-FFFF00000000}"/>
  </bookViews>
  <sheets>
    <sheet name="Instructions" sheetId="1" r:id="rId1"/>
    <sheet name="Dataset" sheetId="2" r:id="rId2"/>
    <sheet name="Sheet2" sheetId="4" r:id="rId3"/>
    <sheet name="Sheet3" sheetId="6" r:id="rId4"/>
    <sheet name="Sheet4" sheetId="7" r:id="rId5"/>
    <sheet name="Sheet5" sheetId="8" r:id="rId6"/>
    <sheet name="Sheet6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8" roundtripDataChecksum="rIR6213FxEpgZ/k1UDjxyMHI45/G9Bc960XOAAH4UN4="/>
    </ext>
  </extLst>
</workbook>
</file>

<file path=xl/calcChain.xml><?xml version="1.0" encoding="utf-8"?>
<calcChain xmlns="http://schemas.openxmlformats.org/spreadsheetml/2006/main">
  <c r="I35" i="9" l="1"/>
  <c r="H35" i="9"/>
  <c r="G35" i="9"/>
  <c r="I34" i="9"/>
  <c r="H34" i="9"/>
  <c r="G34" i="9"/>
  <c r="I33" i="9"/>
  <c r="H33" i="9"/>
  <c r="G33" i="9"/>
  <c r="I32" i="9"/>
  <c r="H32" i="9"/>
  <c r="G32" i="9"/>
  <c r="I31" i="9"/>
  <c r="H31" i="9"/>
  <c r="G31" i="9"/>
  <c r="I30" i="9"/>
  <c r="H30" i="9"/>
  <c r="G30" i="9"/>
  <c r="I29" i="9"/>
  <c r="H29" i="9"/>
  <c r="G29" i="9"/>
  <c r="I28" i="9"/>
  <c r="H28" i="9"/>
  <c r="G28" i="9"/>
  <c r="I27" i="9"/>
  <c r="H27" i="9"/>
  <c r="G27" i="9"/>
  <c r="I26" i="9"/>
  <c r="H26" i="9"/>
  <c r="G26" i="9"/>
  <c r="I25" i="9"/>
  <c r="H25" i="9"/>
  <c r="G25" i="9"/>
  <c r="I24" i="9"/>
  <c r="H24" i="9"/>
  <c r="G24" i="9"/>
  <c r="I23" i="9"/>
  <c r="H23" i="9"/>
  <c r="G23" i="9"/>
  <c r="I22" i="9"/>
  <c r="H22" i="9"/>
  <c r="G22" i="9"/>
  <c r="I21" i="9"/>
  <c r="H21" i="9"/>
  <c r="G21" i="9"/>
  <c r="I20" i="9"/>
  <c r="H20" i="9"/>
  <c r="G20" i="9"/>
  <c r="I19" i="9"/>
  <c r="H19" i="9"/>
  <c r="G19" i="9"/>
  <c r="I18" i="9"/>
  <c r="H18" i="9"/>
  <c r="G18" i="9"/>
  <c r="I17" i="9"/>
  <c r="H17" i="9"/>
  <c r="G17" i="9"/>
  <c r="I16" i="9"/>
  <c r="H16" i="9"/>
  <c r="G16" i="9"/>
  <c r="I15" i="9"/>
  <c r="H15" i="9"/>
  <c r="G15" i="9"/>
  <c r="I14" i="9"/>
  <c r="H14" i="9"/>
  <c r="G14" i="9"/>
  <c r="I13" i="9"/>
  <c r="H13" i="9"/>
  <c r="G13" i="9"/>
  <c r="I12" i="9"/>
  <c r="H12" i="9"/>
  <c r="G12" i="9"/>
  <c r="I11" i="9"/>
  <c r="H11" i="9"/>
  <c r="G11" i="9"/>
  <c r="I10" i="9"/>
  <c r="H10" i="9"/>
  <c r="G10" i="9"/>
  <c r="I9" i="9"/>
  <c r="H9" i="9"/>
  <c r="G9" i="9"/>
  <c r="I8" i="9"/>
  <c r="H8" i="9"/>
  <c r="G8" i="9"/>
  <c r="I7" i="9"/>
  <c r="H7" i="9"/>
  <c r="G7" i="9"/>
  <c r="I6" i="9"/>
  <c r="H6" i="9"/>
  <c r="G6" i="9"/>
  <c r="I5" i="9"/>
  <c r="H5" i="9"/>
  <c r="G5" i="9"/>
  <c r="I4" i="9"/>
  <c r="H4" i="9"/>
  <c r="G4" i="9"/>
  <c r="I3" i="9"/>
  <c r="H3" i="9"/>
  <c r="G3" i="9"/>
  <c r="I2" i="9"/>
  <c r="H2" i="9"/>
  <c r="G2" i="9"/>
  <c r="I35" i="8"/>
  <c r="H35" i="8"/>
  <c r="G35" i="8"/>
  <c r="I34" i="8"/>
  <c r="H34" i="8"/>
  <c r="G34" i="8"/>
  <c r="I33" i="8"/>
  <c r="H33" i="8"/>
  <c r="G33" i="8"/>
  <c r="I32" i="8"/>
  <c r="H32" i="8"/>
  <c r="G32" i="8"/>
  <c r="I31" i="8"/>
  <c r="H31" i="8"/>
  <c r="G31" i="8"/>
  <c r="I30" i="8"/>
  <c r="H30" i="8"/>
  <c r="G30" i="8"/>
  <c r="I29" i="8"/>
  <c r="H29" i="8"/>
  <c r="G29" i="8"/>
  <c r="I28" i="8"/>
  <c r="H28" i="8"/>
  <c r="G28" i="8"/>
  <c r="I27" i="8"/>
  <c r="H27" i="8"/>
  <c r="G27" i="8"/>
  <c r="I26" i="8"/>
  <c r="H26" i="8"/>
  <c r="G26" i="8"/>
  <c r="I25" i="8"/>
  <c r="H25" i="8"/>
  <c r="G25" i="8"/>
  <c r="I24" i="8"/>
  <c r="H24" i="8"/>
  <c r="G24" i="8"/>
  <c r="I23" i="8"/>
  <c r="H23" i="8"/>
  <c r="G23" i="8"/>
  <c r="I22" i="8"/>
  <c r="H22" i="8"/>
  <c r="G22" i="8"/>
  <c r="I21" i="8"/>
  <c r="H21" i="8"/>
  <c r="G21" i="8"/>
  <c r="I20" i="8"/>
  <c r="H20" i="8"/>
  <c r="G20" i="8"/>
  <c r="I19" i="8"/>
  <c r="H19" i="8"/>
  <c r="G19" i="8"/>
  <c r="I18" i="8"/>
  <c r="H18" i="8"/>
  <c r="G18" i="8"/>
  <c r="I17" i="8"/>
  <c r="H17" i="8"/>
  <c r="G17" i="8"/>
  <c r="I16" i="8"/>
  <c r="H16" i="8"/>
  <c r="G16" i="8"/>
  <c r="I15" i="8"/>
  <c r="H15" i="8"/>
  <c r="G15" i="8"/>
  <c r="I14" i="8"/>
  <c r="H14" i="8"/>
  <c r="G14" i="8"/>
  <c r="I13" i="8"/>
  <c r="H13" i="8"/>
  <c r="G13" i="8"/>
  <c r="I12" i="8"/>
  <c r="H12" i="8"/>
  <c r="G12" i="8"/>
  <c r="I11" i="8"/>
  <c r="H11" i="8"/>
  <c r="G11" i="8"/>
  <c r="I10" i="8"/>
  <c r="H10" i="8"/>
  <c r="G10" i="8"/>
  <c r="I9" i="8"/>
  <c r="H9" i="8"/>
  <c r="G9" i="8"/>
  <c r="I8" i="8"/>
  <c r="H8" i="8"/>
  <c r="G8" i="8"/>
  <c r="I7" i="8"/>
  <c r="H7" i="8"/>
  <c r="G7" i="8"/>
  <c r="I6" i="8"/>
  <c r="H6" i="8"/>
  <c r="G6" i="8"/>
  <c r="I5" i="8"/>
  <c r="H5" i="8"/>
  <c r="G5" i="8"/>
  <c r="I4" i="8"/>
  <c r="H4" i="8"/>
  <c r="G4" i="8"/>
  <c r="I3" i="8"/>
  <c r="H3" i="8"/>
  <c r="G3" i="8"/>
  <c r="I2" i="8"/>
  <c r="H2" i="8"/>
  <c r="G2" i="8"/>
  <c r="C2" i="6" a="1"/>
  <c r="C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<sst xmlns="http://schemas.openxmlformats.org/spreadsheetml/2006/main" count="755" uniqueCount="158">
  <si>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</si>
  <si>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</si>
  <si>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</si>
  <si>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</si>
  <si>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</si>
  <si>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</si>
  <si>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</si>
  <si>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</si>
  <si>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</si>
  <si>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</si>
  <si>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</si>
  <si>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</si>
  <si>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</si>
  <si>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</si>
  <si>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</si>
  <si>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</si>
  <si>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</si>
  <si>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</si>
  <si>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</si>
  <si>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</si>
  <si>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</si>
  <si>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</si>
  <si>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</si>
  <si>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</si>
  <si>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</si>
  <si>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</si>
  <si>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</si>
  <si>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</si>
  <si>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</si>
  <si>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</si>
  <si>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</si>
  <si>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</si>
  <si>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</si>
  <si>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</si>
  <si>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</si>
  <si>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</si>
  <si>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</si>
  <si>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</si>
  <si>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</si>
  <si>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</si>
  <si>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</si>
  <si>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</si>
  <si>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</si>
  <si>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</si>
  <si>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</si>
  <si>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</si>
  <si>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</si>
  <si>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</si>
  <si>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</si>
  <si>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</si>
  <si>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</si>
  <si>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</si>
  <si>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</si>
  <si>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</si>
  <si>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</si>
  <si>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</si>
  <si>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</si>
  <si>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</si>
  <si>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</si>
  <si>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</si>
  <si>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</si>
  <si>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</si>
  <si>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</si>
  <si>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</si>
  <si>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</si>
  <si>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</si>
  <si>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</si>
  <si>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</si>
  <si>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</si>
  <si>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</si>
  <si>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</si>
  <si>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</si>
  <si>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</si>
  <si>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</si>
  <si>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</si>
  <si>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</si>
  <si>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</si>
  <si>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</si>
  <si>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</si>
  <si>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</si>
  <si>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</si>
  <si>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</si>
  <si>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</si>
  <si>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</si>
  <si>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</si>
  <si>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</si>
  <si>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</si>
  <si>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</si>
  <si>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</si>
  <si>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</si>
  <si>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</si>
  <si>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</si>
  <si>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</si>
  <si>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</si>
  <si>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</si>
  <si>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</si>
  <si>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</si>
  <si>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</si>
  <si>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</si>
  <si>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</si>
  <si>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</si>
  <si>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</si>
  <si>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</si>
  <si>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</si>
  <si>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</si>
  <si>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</si>
  <si>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</si>
  <si>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</si>
  <si>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</si>
  <si>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</si>
  <si>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</si>
  <si>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</si>
  <si>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</si>
  <si>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</si>
  <si>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</si>
  <si>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</si>
  <si>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</si>
  <si>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</si>
  <si>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Product Brand</t>
  </si>
  <si>
    <t>AVERAGE</t>
  </si>
  <si>
    <t>Missing  Values</t>
  </si>
  <si>
    <t>28-JAN-2026-US</t>
  </si>
  <si>
    <t>15-FEB-2026-US</t>
  </si>
  <si>
    <t>03-MAR-2026-US</t>
  </si>
  <si>
    <t>11-APR-2026-US</t>
  </si>
  <si>
    <t>22-MAY-2026-US</t>
  </si>
  <si>
    <t>07-JUN-2026-UK</t>
  </si>
  <si>
    <t>19-JUL-2026-UK</t>
  </si>
  <si>
    <t>23-AUG-2026-UK</t>
  </si>
  <si>
    <t>05-SEP-2026-UK</t>
  </si>
  <si>
    <t>14-OCT-2026-UK</t>
  </si>
  <si>
    <t>17-JUN-2026-IN</t>
  </si>
  <si>
    <t>25-NOV-2026-AU</t>
  </si>
  <si>
    <t>08-DEC-2026-DE</t>
  </si>
  <si>
    <t>18-FEB-2026-CA</t>
  </si>
  <si>
    <t>16-APR-2026-ES</t>
  </si>
  <si>
    <t>21-AUG-2026-CA</t>
  </si>
  <si>
    <t>20-AUG-2026-CN</t>
  </si>
  <si>
    <t>27-JAN-2026-IT</t>
  </si>
  <si>
    <t>01-MAR-2026-UK</t>
  </si>
  <si>
    <t>14-AUG-2026-US</t>
  </si>
  <si>
    <t>14-MAY-2026-RU</t>
  </si>
  <si>
    <t>09-JAN-2026-CA</t>
  </si>
  <si>
    <t>19-JUL-2026-BR</t>
  </si>
  <si>
    <t>29-SEP-2026-CA</t>
  </si>
  <si>
    <t>03-JUN-2026-CA</t>
  </si>
  <si>
    <t>11-JUL-2026-CA</t>
  </si>
  <si>
    <t>07-MAR-2026-CA</t>
  </si>
  <si>
    <t>13-APR-2026-CA</t>
  </si>
  <si>
    <t>24-MAY-2026-CA</t>
  </si>
  <si>
    <t>02-DEC-2026-CA</t>
  </si>
  <si>
    <t>17-JUN-2026--IN</t>
  </si>
  <si>
    <t>09-JUL-2026-FR</t>
  </si>
  <si>
    <t>Proper Product Name</t>
  </si>
  <si>
    <t xml:space="preserve"> Correcting Inconsistent data</t>
  </si>
  <si>
    <t>Remove Duplicates</t>
  </si>
  <si>
    <t>merging data</t>
  </si>
  <si>
    <t>Number formating and comditional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</si>
</sst>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dd\-mm\-yyyy"/>
  </numFmts>
  <fonts count="13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0" fontId="0" fillId="4" borderId="0" xfId="0" applyFill="1"/>
    <xf numFmtId="0" fontId="8" fillId="0" borderId="2" xfId="0" applyFont="1" applyBorder="1" applyAlignment="1">
      <alignment wrapText="1"/>
    </xf>
    <xf numFmtId="0" fontId="8" fillId="0" borderId="2" xfId="0" applyFont="1" applyBorder="1" applyAlignment="1">
      <alignment horizontal="right" wrapText="1"/>
    </xf>
    <xf numFmtId="0" fontId="8" fillId="5" borderId="2" xfId="0" applyFont="1" applyFill="1" applyBorder="1" applyAlignment="1">
      <alignment wrapText="1"/>
    </xf>
    <xf numFmtId="0" fontId="8" fillId="5" borderId="2" xfId="0" applyFont="1" applyFill="1" applyBorder="1" applyAlignment="1">
      <alignment horizontal="right" wrapText="1"/>
    </xf>
    <xf numFmtId="0" fontId="8" fillId="0" borderId="1" xfId="0" applyFont="1" applyBorder="1" applyAlignment="1">
      <alignment wrapText="1"/>
    </xf>
    <xf numFmtId="0" fontId="8" fillId="6" borderId="1" xfId="0" applyFont="1" applyFill="1" applyBorder="1" applyAlignment="1">
      <alignment wrapText="1"/>
    </xf>
    <xf numFmtId="0" fontId="8" fillId="0" borderId="1" xfId="0" applyFont="1" applyBorder="1" applyAlignment="1">
      <alignment horizontal="right" wrapText="1"/>
    </xf>
    <xf numFmtId="0" fontId="8" fillId="6" borderId="1" xfId="0" applyFont="1" applyFill="1" applyBorder="1" applyAlignment="1">
      <alignment horizontal="right" wrapText="1"/>
    </xf>
    <xf numFmtId="0" fontId="0" fillId="4" borderId="0" xfId="0" applyFill="1"/>
    <xf numFmtId="0" fontId="10" fillId="4" borderId="0" xfId="0" applyFont="1" applyFill="1"/>
    <xf numFmtId="0" fontId="9" fillId="4" borderId="2" xfId="0" applyFont="1" applyFill="1" applyBorder="1" applyAlignment="1">
      <alignment horizontal="center" wrapText="1"/>
    </xf>
    <xf numFmtId="167" fontId="11" fillId="0" borderId="1" xfId="0" applyNumberFormat="1" applyFont="1" applyBorder="1"/>
    <xf numFmtId="0" fontId="11" fillId="0" borderId="1" xfId="0" applyFont="1" applyBorder="1"/>
    <xf numFmtId="167" fontId="11" fillId="6" borderId="1" xfId="0" applyNumberFormat="1" applyFont="1" applyFill="1" applyBorder="1"/>
    <xf numFmtId="0" fontId="11" fillId="6" borderId="1" xfId="0" applyFont="1" applyFill="1" applyBorder="1"/>
    <xf numFmtId="0" fontId="12" fillId="4" borderId="0" xfId="0" applyFont="1" applyFill="1"/>
    <xf numFmtId="0" fontId="9" fillId="4" borderId="1" xfId="0" applyFont="1" applyFill="1" applyBorder="1" applyAlignment="1">
      <alignment horizontal="center" wrapText="1"/>
    </xf>
    <xf numFmtId="167" fontId="9" fillId="4" borderId="1" xfId="0" applyNumberFormat="1" applyFont="1" applyFill="1" applyBorder="1" applyAlignment="1">
      <alignment horizontal="center" wrapText="1"/>
    </xf>
    <xf numFmtId="167" fontId="12" fillId="0" borderId="1" xfId="0" applyNumberFormat="1" applyFont="1" applyBorder="1"/>
    <xf numFmtId="0" fontId="12" fillId="0" borderId="1" xfId="0" applyFont="1" applyBorder="1"/>
    <xf numFmtId="167" fontId="12" fillId="6" borderId="1" xfId="0" applyNumberFormat="1" applyFont="1" applyFill="1" applyBorder="1"/>
    <xf numFmtId="0" fontId="12" fillId="6" borderId="1" xfId="0" applyFont="1" applyFill="1" applyBorder="1"/>
    <xf numFmtId="0" fontId="8" fillId="7" borderId="1" xfId="0" applyFont="1" applyFill="1" applyBorder="1" applyAlignment="1">
      <alignment wrapText="1"/>
    </xf>
    <xf numFmtId="0" fontId="12" fillId="4" borderId="0" xfId="0" applyFont="1" applyFill="1"/>
  </cellXfs>
  <cellStyles count="1">
    <cellStyle name="Normal" xfId="0" builtinId="0"/>
  </cellStyles>
  <dxfs count="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topLeftCell="A2" workbookViewId="0"/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11" ht="15.75" customHeight="1" x14ac:dyDescent="0.25">
      <c r="A1" s="1" t="s">
        <v>0</v>
      </c>
    </row>
    <row r="2" spans="1:11" ht="15.75" customHeight="1" x14ac:dyDescent="0.2"/>
    <row r="3" spans="1:11" ht="15.75" customHeight="1" x14ac:dyDescent="0.25">
      <c r="B3" s="2" t="s">
        <v>1</v>
      </c>
    </row>
    <row r="4" spans="1:11" ht="15.75" customHeight="1" x14ac:dyDescent="0.25">
      <c r="C4" s="3" t="s">
        <v>2</v>
      </c>
    </row>
    <row r="5" spans="1:11" ht="15.75" customHeight="1" x14ac:dyDescent="0.25">
      <c r="B5" s="4"/>
      <c r="C5" s="3" t="s">
        <v>3</v>
      </c>
    </row>
    <row r="6" spans="1:11" ht="15.75" customHeight="1" x14ac:dyDescent="0.25">
      <c r="B6" s="4"/>
    </row>
    <row r="7" spans="1:11" ht="15.75" customHeight="1" x14ac:dyDescent="0.25">
      <c r="B7" s="2" t="s">
        <v>4</v>
      </c>
    </row>
    <row r="8" spans="1:11" ht="15.75" customHeight="1" x14ac:dyDescent="0.25">
      <c r="C8" s="3" t="s">
        <v>5</v>
      </c>
    </row>
    <row r="9" spans="1:11" ht="15.75" customHeight="1" x14ac:dyDescent="0.25">
      <c r="C9" s="3" t="s">
        <v>6</v>
      </c>
    </row>
    <row r="10" spans="1:11" ht="15.75" customHeight="1" x14ac:dyDescent="0.25">
      <c r="C10" s="3" t="s">
        <v>7</v>
      </c>
    </row>
    <row r="11" spans="1:11" ht="15.75" customHeight="1" x14ac:dyDescent="0.25">
      <c r="B11" s="4"/>
    </row>
    <row r="12" spans="1:11" ht="15.75" customHeight="1" x14ac:dyDescent="0.25">
      <c r="B12" s="2" t="s">
        <v>8</v>
      </c>
    </row>
    <row r="13" spans="1:11" ht="15.75" customHeight="1" x14ac:dyDescent="0.25">
      <c r="B13" s="2"/>
      <c r="C13" s="3" t="s">
        <v>9</v>
      </c>
    </row>
    <row r="14" spans="1:11" ht="15.75" customHeight="1" x14ac:dyDescent="0.2"/>
    <row r="15" spans="1:11" ht="15.75" customHeight="1" x14ac:dyDescent="0.25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2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2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25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2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2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25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2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2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2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25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"/>
    <row r="29" spans="2:11" ht="15.75" customHeight="1" x14ac:dyDescent="0.2"/>
    <row r="30" spans="2:11" ht="15.75" customHeight="1" x14ac:dyDescent="0.2"/>
    <row r="31" spans="2:11" ht="15.75" customHeight="1" x14ac:dyDescent="0.2"/>
    <row r="32" spans="2:1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workbookViewId="0">
      <selection sqref="A1:F35"/>
    </sheetView>
  </sheetViews>
  <sheetFormatPr defaultColWidth="12.5703125" defaultRowHeight="15" customHeight="1" x14ac:dyDescent="0.2"/>
  <cols>
    <col min="1" max="6" width="12.5703125" customWidth="1"/>
  </cols>
  <sheetData>
    <row r="1" spans="1:16" ht="15.75" customHeight="1" x14ac:dyDescent="0.2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25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2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2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ADDF4-2A79-49B2-919B-EC1121E4B5AD}">
  <dimension ref="A1:C2"/>
  <sheetViews>
    <sheetView workbookViewId="0">
      <selection activeCell="B1" sqref="B1"/>
    </sheetView>
  </sheetViews>
  <sheetFormatPr defaultRowHeight="12.75" x14ac:dyDescent="0.2"/>
  <cols>
    <col min="2" max="2" width="15.85546875" customWidth="1"/>
  </cols>
  <sheetData>
    <row r="1" spans="1:3" x14ac:dyDescent="0.2">
      <c r="A1">
        <v>1</v>
      </c>
      <c r="B1" s="9" t="s">
        <v>120</v>
      </c>
    </row>
    <row r="2" spans="1:3" x14ac:dyDescent="0.2">
      <c r="B2" t="s">
        <v>119</v>
      </c>
      <c r="C2">
        <v>309.35476469999998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3357B-18A9-4B12-AFBE-C1167B4F6C78}">
  <dimension ref="A1:M35"/>
  <sheetViews>
    <sheetView workbookViewId="0">
      <selection activeCell="F15" sqref="F15"/>
    </sheetView>
  </sheetViews>
  <sheetFormatPr defaultRowHeight="12.75" x14ac:dyDescent="0.2"/>
  <cols>
    <col min="1" max="1" width="15.5703125" customWidth="1"/>
    <col min="2" max="2" width="14.42578125" customWidth="1"/>
    <col min="3" max="3" width="14.140625" customWidth="1"/>
    <col min="4" max="4" width="13.5703125" customWidth="1"/>
    <col min="6" max="7" width="11.140625" customWidth="1"/>
  </cols>
  <sheetData>
    <row r="1" spans="1:13" ht="26.25" thickBot="1" x14ac:dyDescent="0.25">
      <c r="A1" s="26" t="s">
        <v>19</v>
      </c>
      <c r="B1" s="26" t="s">
        <v>20</v>
      </c>
      <c r="C1" s="26" t="s">
        <v>153</v>
      </c>
      <c r="D1" s="26" t="s">
        <v>21</v>
      </c>
      <c r="E1" s="26" t="s">
        <v>22</v>
      </c>
      <c r="F1" s="26" t="s">
        <v>23</v>
      </c>
      <c r="G1" s="26" t="s">
        <v>24</v>
      </c>
    </row>
    <row r="2" spans="1:13" ht="12.2" customHeight="1" thickBot="1" x14ac:dyDescent="0.25">
      <c r="A2" s="10" t="s">
        <v>121</v>
      </c>
      <c r="B2" s="14" t="s">
        <v>26</v>
      </c>
      <c r="C2" s="14" t="str" cm="1">
        <f t="array" ref="C2:C35">PROPER(B2:B35)</f>
        <v>Laptop</v>
      </c>
      <c r="D2" s="14" t="s">
        <v>27</v>
      </c>
      <c r="E2" s="16">
        <v>1000</v>
      </c>
      <c r="F2" s="16">
        <v>30</v>
      </c>
      <c r="G2" s="14" t="s">
        <v>28</v>
      </c>
    </row>
    <row r="3" spans="1:13" ht="12.2" customHeight="1" thickBot="1" x14ac:dyDescent="0.25">
      <c r="A3" s="12" t="s">
        <v>122</v>
      </c>
      <c r="B3" s="15" t="s">
        <v>30</v>
      </c>
      <c r="C3" s="15" t="str">
        <v>Sneakers</v>
      </c>
      <c r="D3" s="15" t="s">
        <v>31</v>
      </c>
      <c r="E3" s="17">
        <v>80</v>
      </c>
      <c r="F3" s="17">
        <v>15</v>
      </c>
      <c r="G3" s="15" t="s">
        <v>32</v>
      </c>
    </row>
    <row r="4" spans="1:13" ht="12.2" customHeight="1" thickBot="1" x14ac:dyDescent="0.25">
      <c r="A4" s="10" t="s">
        <v>123</v>
      </c>
      <c r="B4" s="14" t="s">
        <v>34</v>
      </c>
      <c r="C4" s="14" t="str">
        <v>Coffee Maker</v>
      </c>
      <c r="D4" s="14" t="s">
        <v>35</v>
      </c>
      <c r="E4" s="16">
        <v>130</v>
      </c>
      <c r="F4" s="16">
        <v>40</v>
      </c>
      <c r="G4" s="14" t="s">
        <v>36</v>
      </c>
    </row>
    <row r="5" spans="1:13" ht="12.2" customHeight="1" thickBot="1" x14ac:dyDescent="0.25">
      <c r="A5" s="12" t="s">
        <v>124</v>
      </c>
      <c r="B5" s="15" t="s">
        <v>38</v>
      </c>
      <c r="C5" s="15" t="str">
        <v>Smartphone</v>
      </c>
      <c r="D5" s="15" t="s">
        <v>39</v>
      </c>
      <c r="E5" s="17">
        <v>900</v>
      </c>
      <c r="F5" s="17">
        <v>25</v>
      </c>
      <c r="G5" s="15" t="s">
        <v>28</v>
      </c>
    </row>
    <row r="6" spans="1:13" ht="12.2" customHeight="1" thickBot="1" x14ac:dyDescent="0.25">
      <c r="A6" s="10" t="s">
        <v>125</v>
      </c>
      <c r="B6" s="14" t="s">
        <v>41</v>
      </c>
      <c r="C6" s="14" t="str">
        <v>Backpack</v>
      </c>
      <c r="D6" s="14" t="s">
        <v>42</v>
      </c>
      <c r="E6" s="16">
        <v>70</v>
      </c>
      <c r="F6" s="16">
        <v>20</v>
      </c>
      <c r="G6" s="14" t="s">
        <v>75</v>
      </c>
    </row>
    <row r="7" spans="1:13" ht="12.2" customHeight="1" thickBot="1" x14ac:dyDescent="0.25">
      <c r="A7" s="12" t="s">
        <v>126</v>
      </c>
      <c r="B7" s="15" t="s">
        <v>44</v>
      </c>
      <c r="C7" s="15" t="str">
        <v>Headphones</v>
      </c>
      <c r="D7" s="15" t="s">
        <v>45</v>
      </c>
      <c r="E7" s="15">
        <v>309.35399999999998</v>
      </c>
      <c r="F7" s="17">
        <v>45</v>
      </c>
      <c r="G7" s="15" t="s">
        <v>28</v>
      </c>
    </row>
    <row r="8" spans="1:13" ht="12.2" customHeight="1" thickBot="1" x14ac:dyDescent="0.25">
      <c r="A8" s="10" t="s">
        <v>127</v>
      </c>
      <c r="B8" s="14" t="s">
        <v>48</v>
      </c>
      <c r="C8" s="14" t="str">
        <v>T-Shirt</v>
      </c>
      <c r="D8" s="14" t="s">
        <v>49</v>
      </c>
      <c r="E8" s="16">
        <v>30</v>
      </c>
      <c r="F8" s="16">
        <v>5</v>
      </c>
      <c r="G8" s="14" t="s">
        <v>32</v>
      </c>
      <c r="J8" s="18">
        <v>2</v>
      </c>
      <c r="K8" s="19" t="s">
        <v>154</v>
      </c>
      <c r="L8" s="19"/>
      <c r="M8" s="19"/>
    </row>
    <row r="9" spans="1:13" ht="12.2" customHeight="1" thickBot="1" x14ac:dyDescent="0.25">
      <c r="A9" s="12" t="s">
        <v>128</v>
      </c>
      <c r="B9" s="15" t="s">
        <v>51</v>
      </c>
      <c r="C9" s="15" t="str">
        <v>Blender</v>
      </c>
      <c r="D9" s="15" t="s">
        <v>52</v>
      </c>
      <c r="E9" s="17">
        <v>90</v>
      </c>
      <c r="F9" s="17">
        <v>35</v>
      </c>
      <c r="G9" s="15" t="s">
        <v>36</v>
      </c>
      <c r="J9" s="18"/>
      <c r="K9" s="19"/>
      <c r="L9" s="19"/>
      <c r="M9" s="19"/>
    </row>
    <row r="10" spans="1:13" ht="12.2" customHeight="1" thickBot="1" x14ac:dyDescent="0.25">
      <c r="A10" s="10" t="s">
        <v>129</v>
      </c>
      <c r="B10" s="14" t="s">
        <v>54</v>
      </c>
      <c r="C10" s="14" t="str">
        <v>Tablet</v>
      </c>
      <c r="D10" s="14" t="s">
        <v>55</v>
      </c>
      <c r="E10" s="16">
        <v>500</v>
      </c>
      <c r="F10" s="16">
        <v>50</v>
      </c>
      <c r="G10" s="14" t="s">
        <v>28</v>
      </c>
      <c r="J10" s="18"/>
      <c r="K10" s="19"/>
      <c r="L10" s="19"/>
      <c r="M10" s="19"/>
    </row>
    <row r="11" spans="1:13" ht="12.2" customHeight="1" thickBot="1" x14ac:dyDescent="0.25">
      <c r="A11" s="12" t="s">
        <v>130</v>
      </c>
      <c r="B11" s="15" t="s">
        <v>57</v>
      </c>
      <c r="C11" s="15" t="str">
        <v>Hiking Boots</v>
      </c>
      <c r="D11" s="15" t="s">
        <v>58</v>
      </c>
      <c r="E11" s="17">
        <v>130</v>
      </c>
      <c r="F11" s="17">
        <v>10</v>
      </c>
      <c r="G11" s="15" t="s">
        <v>59</v>
      </c>
    </row>
    <row r="12" spans="1:13" ht="12.2" customHeight="1" thickBot="1" x14ac:dyDescent="0.25">
      <c r="A12" s="10" t="s">
        <v>131</v>
      </c>
      <c r="B12" s="14" t="s">
        <v>61</v>
      </c>
      <c r="C12" s="14" t="str">
        <v>Laptop</v>
      </c>
      <c r="D12" s="14" t="s">
        <v>62</v>
      </c>
      <c r="E12" s="16">
        <v>950</v>
      </c>
      <c r="F12" s="16">
        <v>25</v>
      </c>
      <c r="G12" s="14" t="s">
        <v>28</v>
      </c>
    </row>
    <row r="13" spans="1:13" ht="12.2" customHeight="1" thickBot="1" x14ac:dyDescent="0.25">
      <c r="A13" s="12" t="s">
        <v>132</v>
      </c>
      <c r="B13" s="15" t="s">
        <v>30</v>
      </c>
      <c r="C13" s="15" t="str">
        <v>Sneakers</v>
      </c>
      <c r="D13" s="15" t="s">
        <v>49</v>
      </c>
      <c r="E13" s="17">
        <v>90</v>
      </c>
      <c r="F13" s="17">
        <v>40</v>
      </c>
      <c r="G13" s="15" t="s">
        <v>32</v>
      </c>
    </row>
    <row r="14" spans="1:13" ht="12.2" customHeight="1" thickBot="1" x14ac:dyDescent="0.25">
      <c r="A14" s="10" t="s">
        <v>133</v>
      </c>
      <c r="B14" s="14" t="s">
        <v>34</v>
      </c>
      <c r="C14" s="14" t="str">
        <v>Coffee Maker</v>
      </c>
      <c r="D14" s="14" t="s">
        <v>65</v>
      </c>
      <c r="E14" s="16">
        <v>120</v>
      </c>
      <c r="F14" s="16">
        <v>35</v>
      </c>
      <c r="G14" s="14" t="s">
        <v>36</v>
      </c>
    </row>
    <row r="15" spans="1:13" ht="12.2" customHeight="1" thickBot="1" x14ac:dyDescent="0.25">
      <c r="A15" s="12" t="s">
        <v>134</v>
      </c>
      <c r="B15" s="15" t="s">
        <v>67</v>
      </c>
      <c r="C15" s="15" t="str">
        <v>Smartwatch</v>
      </c>
      <c r="D15" s="15" t="s">
        <v>68</v>
      </c>
      <c r="E15" s="17">
        <v>150</v>
      </c>
      <c r="F15" s="17">
        <v>15</v>
      </c>
      <c r="G15" s="15" t="s">
        <v>28</v>
      </c>
    </row>
    <row r="16" spans="1:13" ht="12.2" customHeight="1" thickBot="1" x14ac:dyDescent="0.25">
      <c r="A16" s="10" t="s">
        <v>135</v>
      </c>
      <c r="B16" s="14" t="s">
        <v>70</v>
      </c>
      <c r="C16" s="14" t="str">
        <v>Headphones</v>
      </c>
      <c r="D16" s="14" t="s">
        <v>71</v>
      </c>
      <c r="E16" s="16">
        <v>250</v>
      </c>
      <c r="F16" s="16">
        <v>20</v>
      </c>
      <c r="G16" s="14" t="s">
        <v>28</v>
      </c>
    </row>
    <row r="17" spans="1:7" ht="12.2" customHeight="1" thickBot="1" x14ac:dyDescent="0.25">
      <c r="A17" s="12" t="s">
        <v>136</v>
      </c>
      <c r="B17" s="15" t="s">
        <v>73</v>
      </c>
      <c r="C17" s="15" t="str">
        <v>Laptop Bag</v>
      </c>
      <c r="D17" s="15" t="s">
        <v>74</v>
      </c>
      <c r="E17" s="17">
        <v>50</v>
      </c>
      <c r="F17" s="17">
        <v>35</v>
      </c>
      <c r="G17" s="15" t="s">
        <v>75</v>
      </c>
    </row>
    <row r="18" spans="1:7" ht="12.2" customHeight="1" thickBot="1" x14ac:dyDescent="0.25">
      <c r="A18" s="10" t="s">
        <v>137</v>
      </c>
      <c r="B18" s="14" t="s">
        <v>67</v>
      </c>
      <c r="C18" s="14" t="str">
        <v>Smartwatch</v>
      </c>
      <c r="D18" s="14" t="s">
        <v>77</v>
      </c>
      <c r="E18" s="16">
        <v>160</v>
      </c>
      <c r="F18" s="16">
        <v>15</v>
      </c>
      <c r="G18" s="14" t="s">
        <v>28</v>
      </c>
    </row>
    <row r="19" spans="1:7" ht="12.2" customHeight="1" thickBot="1" x14ac:dyDescent="0.25">
      <c r="A19" s="12" t="s">
        <v>138</v>
      </c>
      <c r="B19" s="15" t="s">
        <v>26</v>
      </c>
      <c r="C19" s="15" t="str">
        <v>Laptop</v>
      </c>
      <c r="D19" s="15" t="s">
        <v>79</v>
      </c>
      <c r="E19" s="17">
        <v>980</v>
      </c>
      <c r="F19" s="17">
        <v>10</v>
      </c>
      <c r="G19" s="15" t="s">
        <v>28</v>
      </c>
    </row>
    <row r="20" spans="1:7" ht="12.2" customHeight="1" thickBot="1" x14ac:dyDescent="0.25">
      <c r="A20" s="10" t="s">
        <v>139</v>
      </c>
      <c r="B20" s="14" t="s">
        <v>81</v>
      </c>
      <c r="C20" s="14" t="str">
        <v>Sunglasses</v>
      </c>
      <c r="D20" s="14" t="s">
        <v>82</v>
      </c>
      <c r="E20" s="16">
        <v>150</v>
      </c>
      <c r="F20" s="16">
        <v>15</v>
      </c>
      <c r="G20" s="14" t="s">
        <v>32</v>
      </c>
    </row>
    <row r="21" spans="1:7" ht="12.2" customHeight="1" thickBot="1" x14ac:dyDescent="0.25">
      <c r="A21" s="12" t="s">
        <v>140</v>
      </c>
      <c r="B21" s="15" t="s">
        <v>84</v>
      </c>
      <c r="C21" s="15" t="str">
        <v>Camping Tent</v>
      </c>
      <c r="D21" s="15" t="s">
        <v>85</v>
      </c>
      <c r="E21" s="15">
        <v>309.35399999999998</v>
      </c>
      <c r="F21" s="17">
        <v>10</v>
      </c>
      <c r="G21" s="15" t="s">
        <v>59</v>
      </c>
    </row>
    <row r="22" spans="1:7" ht="12.2" customHeight="1" thickBot="1" x14ac:dyDescent="0.25">
      <c r="A22" s="10" t="s">
        <v>141</v>
      </c>
      <c r="B22" s="14" t="s">
        <v>87</v>
      </c>
      <c r="C22" s="14" t="str">
        <v>Camera</v>
      </c>
      <c r="D22" s="14" t="s">
        <v>88</v>
      </c>
      <c r="E22" s="16">
        <v>700</v>
      </c>
      <c r="F22" s="16">
        <v>50</v>
      </c>
      <c r="G22" s="14" t="s">
        <v>28</v>
      </c>
    </row>
    <row r="23" spans="1:7" ht="12.2" customHeight="1" thickBot="1" x14ac:dyDescent="0.25">
      <c r="A23" s="12" t="s">
        <v>142</v>
      </c>
      <c r="B23" s="15" t="s">
        <v>90</v>
      </c>
      <c r="C23" s="15" t="str">
        <v>Microwave</v>
      </c>
      <c r="D23" s="15" t="s">
        <v>91</v>
      </c>
      <c r="E23" s="17">
        <v>80</v>
      </c>
      <c r="F23" s="17">
        <v>20</v>
      </c>
      <c r="G23" s="15" t="s">
        <v>36</v>
      </c>
    </row>
    <row r="24" spans="1:7" ht="12.2" customHeight="1" thickBot="1" x14ac:dyDescent="0.25">
      <c r="A24" s="10" t="s">
        <v>143</v>
      </c>
      <c r="B24" s="14" t="s">
        <v>93</v>
      </c>
      <c r="C24" s="14" t="str">
        <v>Fitness Tracker</v>
      </c>
      <c r="D24" s="14" t="s">
        <v>94</v>
      </c>
      <c r="E24" s="16">
        <v>150</v>
      </c>
      <c r="F24" s="16">
        <v>30</v>
      </c>
      <c r="G24" s="14" t="s">
        <v>28</v>
      </c>
    </row>
    <row r="25" spans="1:7" ht="12.2" customHeight="1" thickBot="1" x14ac:dyDescent="0.25">
      <c r="A25" s="12" t="s">
        <v>136</v>
      </c>
      <c r="B25" s="15" t="s">
        <v>73</v>
      </c>
      <c r="C25" s="15" t="str">
        <v>Laptop Bag</v>
      </c>
      <c r="D25" s="15" t="s">
        <v>74</v>
      </c>
      <c r="E25" s="17">
        <v>50</v>
      </c>
      <c r="F25" s="17">
        <v>35</v>
      </c>
      <c r="G25" s="15" t="s">
        <v>75</v>
      </c>
    </row>
    <row r="26" spans="1:7" ht="12.2" customHeight="1" thickBot="1" x14ac:dyDescent="0.25">
      <c r="A26" s="10" t="s">
        <v>144</v>
      </c>
      <c r="B26" s="14" t="s">
        <v>96</v>
      </c>
      <c r="C26" s="14" t="str">
        <v>Smartphone</v>
      </c>
      <c r="D26" s="14" t="s">
        <v>97</v>
      </c>
      <c r="E26" s="16">
        <v>800</v>
      </c>
      <c r="F26" s="16">
        <v>45</v>
      </c>
      <c r="G26" s="14" t="s">
        <v>28</v>
      </c>
    </row>
    <row r="27" spans="1:7" ht="12.2" customHeight="1" thickBot="1" x14ac:dyDescent="0.25">
      <c r="A27" s="12" t="s">
        <v>145</v>
      </c>
      <c r="B27" s="15" t="s">
        <v>81</v>
      </c>
      <c r="C27" s="15" t="str">
        <v>Sunglasses</v>
      </c>
      <c r="D27" s="15" t="s">
        <v>99</v>
      </c>
      <c r="E27" s="15">
        <v>309.35399999999998</v>
      </c>
      <c r="F27" s="17">
        <v>25</v>
      </c>
      <c r="G27" s="15" t="s">
        <v>32</v>
      </c>
    </row>
    <row r="28" spans="1:7" ht="12.2" customHeight="1" thickBot="1" x14ac:dyDescent="0.25">
      <c r="A28" s="10" t="s">
        <v>146</v>
      </c>
      <c r="B28" s="14" t="s">
        <v>51</v>
      </c>
      <c r="C28" s="14" t="str">
        <v>Blender</v>
      </c>
      <c r="D28" s="14" t="s">
        <v>101</v>
      </c>
      <c r="E28" s="16">
        <v>400</v>
      </c>
      <c r="F28" s="16">
        <v>40</v>
      </c>
      <c r="G28" s="14" t="s">
        <v>36</v>
      </c>
    </row>
    <row r="29" spans="1:7" ht="12.2" customHeight="1" thickBot="1" x14ac:dyDescent="0.25">
      <c r="A29" s="12" t="s">
        <v>135</v>
      </c>
      <c r="B29" s="15" t="s">
        <v>70</v>
      </c>
      <c r="C29" s="15" t="str">
        <v>Headphones</v>
      </c>
      <c r="D29" s="15" t="s">
        <v>71</v>
      </c>
      <c r="E29" s="17">
        <v>250</v>
      </c>
      <c r="F29" s="17">
        <v>20</v>
      </c>
      <c r="G29" s="15" t="s">
        <v>28</v>
      </c>
    </row>
    <row r="30" spans="1:7" ht="12.2" customHeight="1" thickBot="1" x14ac:dyDescent="0.25">
      <c r="A30" s="10" t="s">
        <v>147</v>
      </c>
      <c r="B30" s="14" t="s">
        <v>103</v>
      </c>
      <c r="C30" s="14" t="str">
        <v>Dress</v>
      </c>
      <c r="D30" s="14" t="s">
        <v>104</v>
      </c>
      <c r="E30" s="16">
        <v>60</v>
      </c>
      <c r="F30" s="16">
        <v>30</v>
      </c>
      <c r="G30" s="14" t="s">
        <v>32</v>
      </c>
    </row>
    <row r="31" spans="1:7" ht="12.2" customHeight="1" thickBot="1" x14ac:dyDescent="0.25">
      <c r="A31" s="12" t="s">
        <v>148</v>
      </c>
      <c r="B31" s="15" t="s">
        <v>106</v>
      </c>
      <c r="C31" s="15" t="str">
        <v>Toaster</v>
      </c>
      <c r="D31" s="15" t="s">
        <v>107</v>
      </c>
      <c r="E31" s="17">
        <v>40</v>
      </c>
      <c r="F31" s="17">
        <v>10</v>
      </c>
      <c r="G31" s="15" t="s">
        <v>36</v>
      </c>
    </row>
    <row r="32" spans="1:7" ht="12.2" customHeight="1" thickBot="1" x14ac:dyDescent="0.25">
      <c r="A32" s="10" t="s">
        <v>149</v>
      </c>
      <c r="B32" s="14" t="s">
        <v>93</v>
      </c>
      <c r="C32" s="14" t="str">
        <v>Fitness Tracker</v>
      </c>
      <c r="D32" s="14" t="s">
        <v>109</v>
      </c>
      <c r="E32" s="16">
        <v>130</v>
      </c>
      <c r="F32" s="16">
        <v>5</v>
      </c>
      <c r="G32" s="14" t="s">
        <v>28</v>
      </c>
    </row>
    <row r="33" spans="1:7" ht="12.2" customHeight="1" thickBot="1" x14ac:dyDescent="0.25">
      <c r="A33" s="12" t="s">
        <v>150</v>
      </c>
      <c r="B33" s="15" t="s">
        <v>111</v>
      </c>
      <c r="C33" s="15" t="str">
        <v>Jeans</v>
      </c>
      <c r="D33" s="15" t="s">
        <v>112</v>
      </c>
      <c r="E33" s="17">
        <v>50</v>
      </c>
      <c r="F33" s="17">
        <v>50</v>
      </c>
      <c r="G33" s="15" t="s">
        <v>32</v>
      </c>
    </row>
    <row r="34" spans="1:7" ht="12.2" customHeight="1" thickBot="1" x14ac:dyDescent="0.25">
      <c r="A34" s="10" t="s">
        <v>151</v>
      </c>
      <c r="B34" s="14" t="s">
        <v>61</v>
      </c>
      <c r="C34" s="14" t="str">
        <v>Laptop</v>
      </c>
      <c r="D34" s="14" t="s">
        <v>62</v>
      </c>
      <c r="E34" s="16">
        <v>950</v>
      </c>
      <c r="F34" s="16">
        <v>25</v>
      </c>
      <c r="G34" s="14" t="s">
        <v>28</v>
      </c>
    </row>
    <row r="35" spans="1:7" ht="12.2" customHeight="1" thickBot="1" x14ac:dyDescent="0.25">
      <c r="A35" s="12" t="s">
        <v>152</v>
      </c>
      <c r="B35" s="15" t="s">
        <v>114</v>
      </c>
      <c r="C35" s="15" t="str">
        <v>Watch</v>
      </c>
      <c r="D35" s="15" t="s">
        <v>115</v>
      </c>
      <c r="E35" s="17">
        <v>100</v>
      </c>
      <c r="F35" s="17">
        <v>20</v>
      </c>
      <c r="G35" s="15" t="s">
        <v>75</v>
      </c>
    </row>
  </sheetData>
  <mergeCells count="2">
    <mergeCell ref="J8:J10"/>
    <mergeCell ref="K8:M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89000-3264-41CA-8A5A-0945AEF82404}">
  <dimension ref="A1:K33"/>
  <sheetViews>
    <sheetView workbookViewId="0">
      <selection activeCell="J17" sqref="J17"/>
    </sheetView>
  </sheetViews>
  <sheetFormatPr defaultRowHeight="12.75" x14ac:dyDescent="0.2"/>
  <cols>
    <col min="1" max="1" width="14.42578125" customWidth="1"/>
    <col min="2" max="2" width="12" customWidth="1"/>
    <col min="3" max="3" width="13.140625" customWidth="1"/>
    <col min="4" max="4" width="12.5703125" customWidth="1"/>
    <col min="5" max="5" width="11.85546875" customWidth="1"/>
    <col min="6" max="6" width="13.85546875" customWidth="1"/>
  </cols>
  <sheetData>
    <row r="1" spans="1:11" ht="13.35" customHeight="1" thickBot="1" x14ac:dyDescent="0.25">
      <c r="A1" s="20" t="s">
        <v>19</v>
      </c>
      <c r="B1" s="20" t="s">
        <v>20</v>
      </c>
      <c r="C1" s="20" t="s">
        <v>21</v>
      </c>
      <c r="D1" s="20" t="s">
        <v>22</v>
      </c>
      <c r="E1" s="20" t="s">
        <v>23</v>
      </c>
      <c r="F1" s="20" t="s">
        <v>24</v>
      </c>
    </row>
    <row r="2" spans="1:11" ht="13.35" customHeight="1" thickBot="1" x14ac:dyDescent="0.25">
      <c r="A2" s="10" t="s">
        <v>121</v>
      </c>
      <c r="B2" s="10" t="s">
        <v>26</v>
      </c>
      <c r="C2" s="10" t="s">
        <v>27</v>
      </c>
      <c r="D2" s="11">
        <v>1000</v>
      </c>
      <c r="E2" s="11">
        <v>30</v>
      </c>
      <c r="F2" s="10" t="s">
        <v>28</v>
      </c>
    </row>
    <row r="3" spans="1:11" ht="13.35" customHeight="1" thickBot="1" x14ac:dyDescent="0.25">
      <c r="A3" s="12" t="s">
        <v>122</v>
      </c>
      <c r="B3" s="12" t="s">
        <v>30</v>
      </c>
      <c r="C3" s="12" t="s">
        <v>31</v>
      </c>
      <c r="D3" s="13">
        <v>80</v>
      </c>
      <c r="E3" s="13">
        <v>15</v>
      </c>
      <c r="F3" s="12" t="s">
        <v>32</v>
      </c>
    </row>
    <row r="4" spans="1:11" ht="13.35" customHeight="1" thickBot="1" x14ac:dyDescent="0.25">
      <c r="A4" s="10" t="s">
        <v>123</v>
      </c>
      <c r="B4" s="10" t="s">
        <v>34</v>
      </c>
      <c r="C4" s="10" t="s">
        <v>35</v>
      </c>
      <c r="D4" s="11">
        <v>130</v>
      </c>
      <c r="E4" s="11">
        <v>40</v>
      </c>
      <c r="F4" s="10" t="s">
        <v>36</v>
      </c>
    </row>
    <row r="5" spans="1:11" ht="13.35" customHeight="1" thickBot="1" x14ac:dyDescent="0.25">
      <c r="A5" s="12" t="s">
        <v>124</v>
      </c>
      <c r="B5" s="12" t="s">
        <v>38</v>
      </c>
      <c r="C5" s="12" t="s">
        <v>39</v>
      </c>
      <c r="D5" s="13">
        <v>900</v>
      </c>
      <c r="E5" s="13">
        <v>25</v>
      </c>
      <c r="F5" s="12" t="s">
        <v>28</v>
      </c>
    </row>
    <row r="6" spans="1:11" ht="13.35" customHeight="1" thickBot="1" x14ac:dyDescent="0.25">
      <c r="A6" s="10" t="s">
        <v>125</v>
      </c>
      <c r="B6" s="10" t="s">
        <v>41</v>
      </c>
      <c r="C6" s="10" t="s">
        <v>42</v>
      </c>
      <c r="D6" s="11">
        <v>70</v>
      </c>
      <c r="E6" s="11">
        <v>20</v>
      </c>
      <c r="F6" s="10"/>
      <c r="I6" s="9">
        <v>3</v>
      </c>
      <c r="J6" s="9" t="s">
        <v>155</v>
      </c>
      <c r="K6" s="9"/>
    </row>
    <row r="7" spans="1:11" ht="13.35" customHeight="1" thickBot="1" x14ac:dyDescent="0.25">
      <c r="A7" s="12" t="s">
        <v>126</v>
      </c>
      <c r="B7" s="12" t="s">
        <v>44</v>
      </c>
      <c r="C7" s="12" t="s">
        <v>45</v>
      </c>
      <c r="D7" s="12"/>
      <c r="E7" s="13">
        <v>45</v>
      </c>
      <c r="F7" s="12" t="s">
        <v>46</v>
      </c>
    </row>
    <row r="8" spans="1:11" ht="13.35" customHeight="1" thickBot="1" x14ac:dyDescent="0.25">
      <c r="A8" s="10" t="s">
        <v>127</v>
      </c>
      <c r="B8" s="10" t="s">
        <v>48</v>
      </c>
      <c r="C8" s="10" t="s">
        <v>49</v>
      </c>
      <c r="D8" s="11">
        <v>30</v>
      </c>
      <c r="E8" s="11">
        <v>5</v>
      </c>
      <c r="F8" s="10" t="s">
        <v>32</v>
      </c>
    </row>
    <row r="9" spans="1:11" ht="13.35" customHeight="1" thickBot="1" x14ac:dyDescent="0.25">
      <c r="A9" s="12" t="s">
        <v>128</v>
      </c>
      <c r="B9" s="12" t="s">
        <v>51</v>
      </c>
      <c r="C9" s="12" t="s">
        <v>52</v>
      </c>
      <c r="D9" s="13">
        <v>90</v>
      </c>
      <c r="E9" s="13">
        <v>35</v>
      </c>
      <c r="F9" s="12" t="s">
        <v>36</v>
      </c>
    </row>
    <row r="10" spans="1:11" ht="13.35" customHeight="1" thickBot="1" x14ac:dyDescent="0.25">
      <c r="A10" s="10" t="s">
        <v>129</v>
      </c>
      <c r="B10" s="10" t="s">
        <v>54</v>
      </c>
      <c r="C10" s="10" t="s">
        <v>55</v>
      </c>
      <c r="D10" s="11">
        <v>500</v>
      </c>
      <c r="E10" s="11">
        <v>50</v>
      </c>
      <c r="F10" s="10" t="s">
        <v>28</v>
      </c>
    </row>
    <row r="11" spans="1:11" ht="13.35" customHeight="1" thickBot="1" x14ac:dyDescent="0.25">
      <c r="A11" s="12" t="s">
        <v>130</v>
      </c>
      <c r="B11" s="12" t="s">
        <v>57</v>
      </c>
      <c r="C11" s="12" t="s">
        <v>58</v>
      </c>
      <c r="D11" s="13">
        <v>130</v>
      </c>
      <c r="E11" s="13">
        <v>10</v>
      </c>
      <c r="F11" s="12" t="s">
        <v>59</v>
      </c>
    </row>
    <row r="12" spans="1:11" ht="13.35" customHeight="1" thickBot="1" x14ac:dyDescent="0.25">
      <c r="A12" s="10" t="s">
        <v>131</v>
      </c>
      <c r="B12" s="10" t="s">
        <v>61</v>
      </c>
      <c r="C12" s="10" t="s">
        <v>62</v>
      </c>
      <c r="D12" s="11">
        <v>950</v>
      </c>
      <c r="E12" s="11">
        <v>25</v>
      </c>
      <c r="F12" s="10" t="s">
        <v>28</v>
      </c>
    </row>
    <row r="13" spans="1:11" ht="13.35" customHeight="1" thickBot="1" x14ac:dyDescent="0.25">
      <c r="A13" s="12" t="s">
        <v>132</v>
      </c>
      <c r="B13" s="12" t="s">
        <v>30</v>
      </c>
      <c r="C13" s="12" t="s">
        <v>49</v>
      </c>
      <c r="D13" s="13">
        <v>90</v>
      </c>
      <c r="E13" s="13">
        <v>40</v>
      </c>
      <c r="F13" s="12"/>
    </row>
    <row r="14" spans="1:11" ht="13.35" customHeight="1" thickBot="1" x14ac:dyDescent="0.25">
      <c r="A14" s="10" t="s">
        <v>133</v>
      </c>
      <c r="B14" s="10" t="s">
        <v>34</v>
      </c>
      <c r="C14" s="10" t="s">
        <v>65</v>
      </c>
      <c r="D14" s="11">
        <v>120</v>
      </c>
      <c r="E14" s="11">
        <v>35</v>
      </c>
      <c r="F14" s="10"/>
    </row>
    <row r="15" spans="1:11" ht="13.35" customHeight="1" thickBot="1" x14ac:dyDescent="0.25">
      <c r="A15" s="12" t="s">
        <v>134</v>
      </c>
      <c r="B15" s="12" t="s">
        <v>67</v>
      </c>
      <c r="C15" s="12" t="s">
        <v>68</v>
      </c>
      <c r="D15" s="13">
        <v>150</v>
      </c>
      <c r="E15" s="13">
        <v>15</v>
      </c>
      <c r="F15" s="12" t="s">
        <v>46</v>
      </c>
    </row>
    <row r="16" spans="1:11" ht="13.35" customHeight="1" thickBot="1" x14ac:dyDescent="0.25">
      <c r="A16" s="10" t="s">
        <v>135</v>
      </c>
      <c r="B16" s="10" t="s">
        <v>70</v>
      </c>
      <c r="C16" s="10" t="s">
        <v>71</v>
      </c>
      <c r="D16" s="11">
        <v>250</v>
      </c>
      <c r="E16" s="11">
        <v>20</v>
      </c>
      <c r="F16" s="10" t="s">
        <v>46</v>
      </c>
    </row>
    <row r="17" spans="1:6" ht="13.35" customHeight="1" thickBot="1" x14ac:dyDescent="0.25">
      <c r="A17" s="12" t="s">
        <v>136</v>
      </c>
      <c r="B17" s="12" t="s">
        <v>73</v>
      </c>
      <c r="C17" s="12" t="s">
        <v>74</v>
      </c>
      <c r="D17" s="13">
        <v>50</v>
      </c>
      <c r="E17" s="13">
        <v>35</v>
      </c>
      <c r="F17" s="12" t="s">
        <v>75</v>
      </c>
    </row>
    <row r="18" spans="1:6" ht="13.35" customHeight="1" thickBot="1" x14ac:dyDescent="0.25">
      <c r="A18" s="10" t="s">
        <v>137</v>
      </c>
      <c r="B18" s="10" t="s">
        <v>67</v>
      </c>
      <c r="C18" s="10" t="s">
        <v>77</v>
      </c>
      <c r="D18" s="11">
        <v>160</v>
      </c>
      <c r="E18" s="11">
        <v>15</v>
      </c>
      <c r="F18" s="10" t="s">
        <v>46</v>
      </c>
    </row>
    <row r="19" spans="1:6" ht="13.35" customHeight="1" thickBot="1" x14ac:dyDescent="0.25">
      <c r="A19" s="12" t="s">
        <v>138</v>
      </c>
      <c r="B19" s="12" t="s">
        <v>26</v>
      </c>
      <c r="C19" s="12" t="s">
        <v>79</v>
      </c>
      <c r="D19" s="13">
        <v>980</v>
      </c>
      <c r="E19" s="13">
        <v>10</v>
      </c>
      <c r="F19" s="12" t="s">
        <v>28</v>
      </c>
    </row>
    <row r="20" spans="1:6" ht="13.35" customHeight="1" thickBot="1" x14ac:dyDescent="0.25">
      <c r="A20" s="10" t="s">
        <v>139</v>
      </c>
      <c r="B20" s="10" t="s">
        <v>81</v>
      </c>
      <c r="C20" s="10" t="s">
        <v>82</v>
      </c>
      <c r="D20" s="11">
        <v>150</v>
      </c>
      <c r="E20" s="11">
        <v>15</v>
      </c>
      <c r="F20" s="10" t="s">
        <v>32</v>
      </c>
    </row>
    <row r="21" spans="1:6" ht="13.35" customHeight="1" thickBot="1" x14ac:dyDescent="0.25">
      <c r="A21" s="12" t="s">
        <v>140</v>
      </c>
      <c r="B21" s="12" t="s">
        <v>84</v>
      </c>
      <c r="C21" s="12" t="s">
        <v>85</v>
      </c>
      <c r="D21" s="12"/>
      <c r="E21" s="13">
        <v>10</v>
      </c>
      <c r="F21" s="12" t="s">
        <v>59</v>
      </c>
    </row>
    <row r="22" spans="1:6" ht="13.35" customHeight="1" thickBot="1" x14ac:dyDescent="0.25">
      <c r="A22" s="10" t="s">
        <v>141</v>
      </c>
      <c r="B22" s="10" t="s">
        <v>87</v>
      </c>
      <c r="C22" s="10" t="s">
        <v>88</v>
      </c>
      <c r="D22" s="11">
        <v>700</v>
      </c>
      <c r="E22" s="11">
        <v>50</v>
      </c>
      <c r="F22" s="10" t="s">
        <v>28</v>
      </c>
    </row>
    <row r="23" spans="1:6" ht="13.35" customHeight="1" thickBot="1" x14ac:dyDescent="0.25">
      <c r="A23" s="12" t="s">
        <v>142</v>
      </c>
      <c r="B23" s="12" t="s">
        <v>90</v>
      </c>
      <c r="C23" s="12" t="s">
        <v>91</v>
      </c>
      <c r="D23" s="13">
        <v>80</v>
      </c>
      <c r="E23" s="13">
        <v>20</v>
      </c>
      <c r="F23" s="12" t="s">
        <v>36</v>
      </c>
    </row>
    <row r="24" spans="1:6" ht="13.35" customHeight="1" thickBot="1" x14ac:dyDescent="0.25">
      <c r="A24" s="10" t="s">
        <v>143</v>
      </c>
      <c r="B24" s="10" t="s">
        <v>93</v>
      </c>
      <c r="C24" s="10" t="s">
        <v>94</v>
      </c>
      <c r="D24" s="11">
        <v>150</v>
      </c>
      <c r="E24" s="11">
        <v>30</v>
      </c>
      <c r="F24" s="10"/>
    </row>
    <row r="25" spans="1:6" ht="13.35" customHeight="1" thickBot="1" x14ac:dyDescent="0.25">
      <c r="A25" s="10" t="s">
        <v>144</v>
      </c>
      <c r="B25" s="10" t="s">
        <v>96</v>
      </c>
      <c r="C25" s="10" t="s">
        <v>97</v>
      </c>
      <c r="D25" s="11">
        <v>800</v>
      </c>
      <c r="E25" s="11">
        <v>45</v>
      </c>
      <c r="F25" s="10" t="s">
        <v>28</v>
      </c>
    </row>
    <row r="26" spans="1:6" ht="13.35" customHeight="1" thickBot="1" x14ac:dyDescent="0.25">
      <c r="A26" s="12" t="s">
        <v>145</v>
      </c>
      <c r="B26" s="12" t="s">
        <v>81</v>
      </c>
      <c r="C26" s="12" t="s">
        <v>99</v>
      </c>
      <c r="D26" s="12"/>
      <c r="E26" s="13">
        <v>25</v>
      </c>
      <c r="F26" s="12" t="s">
        <v>32</v>
      </c>
    </row>
    <row r="27" spans="1:6" ht="13.35" customHeight="1" thickBot="1" x14ac:dyDescent="0.25">
      <c r="A27" s="10" t="s">
        <v>146</v>
      </c>
      <c r="B27" s="10" t="s">
        <v>51</v>
      </c>
      <c r="C27" s="10" t="s">
        <v>101</v>
      </c>
      <c r="D27" s="11">
        <v>400</v>
      </c>
      <c r="E27" s="11">
        <v>40</v>
      </c>
      <c r="F27" s="10" t="s">
        <v>36</v>
      </c>
    </row>
    <row r="28" spans="1:6" ht="13.35" customHeight="1" thickBot="1" x14ac:dyDescent="0.25">
      <c r="A28" s="10" t="s">
        <v>147</v>
      </c>
      <c r="B28" s="10" t="s">
        <v>103</v>
      </c>
      <c r="C28" s="10" t="s">
        <v>104</v>
      </c>
      <c r="D28" s="11">
        <v>60</v>
      </c>
      <c r="E28" s="11">
        <v>30</v>
      </c>
      <c r="F28" s="10" t="s">
        <v>32</v>
      </c>
    </row>
    <row r="29" spans="1:6" ht="13.35" customHeight="1" thickBot="1" x14ac:dyDescent="0.25">
      <c r="A29" s="12" t="s">
        <v>148</v>
      </c>
      <c r="B29" s="12" t="s">
        <v>106</v>
      </c>
      <c r="C29" s="12" t="s">
        <v>107</v>
      </c>
      <c r="D29" s="13">
        <v>40</v>
      </c>
      <c r="E29" s="13">
        <v>10</v>
      </c>
      <c r="F29" s="12" t="s">
        <v>36</v>
      </c>
    </row>
    <row r="30" spans="1:6" ht="13.35" customHeight="1" thickBot="1" x14ac:dyDescent="0.25">
      <c r="A30" s="10" t="s">
        <v>149</v>
      </c>
      <c r="B30" s="10" t="s">
        <v>93</v>
      </c>
      <c r="C30" s="10" t="s">
        <v>109</v>
      </c>
      <c r="D30" s="11">
        <v>130</v>
      </c>
      <c r="E30" s="11">
        <v>5</v>
      </c>
      <c r="F30" s="10" t="s">
        <v>28</v>
      </c>
    </row>
    <row r="31" spans="1:6" ht="13.35" customHeight="1" thickBot="1" x14ac:dyDescent="0.25">
      <c r="A31" s="12" t="s">
        <v>150</v>
      </c>
      <c r="B31" s="12" t="s">
        <v>111</v>
      </c>
      <c r="C31" s="12" t="s">
        <v>112</v>
      </c>
      <c r="D31" s="13">
        <v>50</v>
      </c>
      <c r="E31" s="13">
        <v>50</v>
      </c>
      <c r="F31" s="12" t="s">
        <v>32</v>
      </c>
    </row>
    <row r="32" spans="1:6" ht="13.35" customHeight="1" thickBot="1" x14ac:dyDescent="0.25">
      <c r="A32" s="10" t="s">
        <v>151</v>
      </c>
      <c r="B32" s="10" t="s">
        <v>61</v>
      </c>
      <c r="C32" s="10" t="s">
        <v>62</v>
      </c>
      <c r="D32" s="11">
        <v>950</v>
      </c>
      <c r="E32" s="11">
        <v>25</v>
      </c>
      <c r="F32" s="10" t="s">
        <v>28</v>
      </c>
    </row>
    <row r="33" spans="1:6" ht="13.35" customHeight="1" thickBot="1" x14ac:dyDescent="0.25">
      <c r="A33" s="12" t="s">
        <v>152</v>
      </c>
      <c r="B33" s="12" t="s">
        <v>114</v>
      </c>
      <c r="C33" s="12" t="s">
        <v>115</v>
      </c>
      <c r="D33" s="13">
        <v>100</v>
      </c>
      <c r="E33" s="13">
        <v>20</v>
      </c>
      <c r="F33" s="12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99F14-D83B-4D5A-BE39-4EE9B25E33C5}">
  <dimension ref="A1:L35"/>
  <sheetViews>
    <sheetView workbookViewId="0">
      <selection activeCell="L6" sqref="L6"/>
    </sheetView>
  </sheetViews>
  <sheetFormatPr defaultRowHeight="12.75" x14ac:dyDescent="0.2"/>
  <cols>
    <col min="1" max="1" width="16.7109375" customWidth="1"/>
    <col min="2" max="2" width="15.5703125" customWidth="1"/>
    <col min="3" max="3" width="15.140625" customWidth="1"/>
    <col min="4" max="4" width="13.85546875" customWidth="1"/>
    <col min="5" max="5" width="13.7109375" customWidth="1"/>
    <col min="6" max="6" width="14" customWidth="1"/>
    <col min="7" max="7" width="14.42578125" customWidth="1"/>
    <col min="8" max="8" width="11.140625" customWidth="1"/>
    <col min="9" max="9" width="29.42578125" customWidth="1"/>
  </cols>
  <sheetData>
    <row r="1" spans="1:12" ht="12.95" customHeight="1" x14ac:dyDescent="0.2">
      <c r="A1" s="26" t="s">
        <v>19</v>
      </c>
      <c r="B1" s="26" t="s">
        <v>20</v>
      </c>
      <c r="C1" s="26" t="s">
        <v>21</v>
      </c>
      <c r="D1" s="26" t="s">
        <v>22</v>
      </c>
      <c r="E1" s="26" t="s">
        <v>23</v>
      </c>
      <c r="F1" s="26" t="s">
        <v>24</v>
      </c>
      <c r="G1" s="27" t="s">
        <v>116</v>
      </c>
      <c r="H1" s="26" t="s">
        <v>117</v>
      </c>
      <c r="I1" s="26" t="s">
        <v>118</v>
      </c>
    </row>
    <row r="2" spans="1:12" ht="12.95" customHeight="1" x14ac:dyDescent="0.2">
      <c r="A2" s="14" t="s">
        <v>121</v>
      </c>
      <c r="B2" s="14" t="s">
        <v>26</v>
      </c>
      <c r="C2" s="14" t="s">
        <v>27</v>
      </c>
      <c r="D2" s="16">
        <v>1000</v>
      </c>
      <c r="E2" s="16">
        <v>30</v>
      </c>
      <c r="F2" s="14" t="s">
        <v>28</v>
      </c>
      <c r="G2" s="21" t="str">
        <f t="shared" ref="G2:G35" si="0">LEFT(A2,11)</f>
        <v>28-JAN-2026</v>
      </c>
      <c r="H2" s="22" t="str">
        <f>RIGHT(A2,2)</f>
        <v>US</v>
      </c>
      <c r="I2" s="22" t="str">
        <f>_xlfn.CONCAT(B2," ",C2)</f>
        <v>laptop Dell</v>
      </c>
    </row>
    <row r="3" spans="1:12" ht="12.95" customHeight="1" x14ac:dyDescent="0.2">
      <c r="A3" s="15" t="s">
        <v>122</v>
      </c>
      <c r="B3" s="15" t="s">
        <v>30</v>
      </c>
      <c r="C3" s="15" t="s">
        <v>31</v>
      </c>
      <c r="D3" s="17">
        <v>80</v>
      </c>
      <c r="E3" s="17">
        <v>15</v>
      </c>
      <c r="F3" s="15" t="s">
        <v>32</v>
      </c>
      <c r="G3" s="23" t="str">
        <f t="shared" si="0"/>
        <v>15-FEB-2026</v>
      </c>
      <c r="H3" s="24" t="str">
        <f t="shared" ref="H3:H35" si="1">RIGHT(A3,2)</f>
        <v>US</v>
      </c>
      <c r="I3" s="24" t="str">
        <f t="shared" ref="I3:I35" si="2">_xlfn.CONCAT(B3," ",C3)</f>
        <v>Sneakers Nike</v>
      </c>
    </row>
    <row r="4" spans="1:12" ht="12.95" customHeight="1" x14ac:dyDescent="0.2">
      <c r="A4" s="14" t="s">
        <v>123</v>
      </c>
      <c r="B4" s="14" t="s">
        <v>34</v>
      </c>
      <c r="C4" s="14" t="s">
        <v>35</v>
      </c>
      <c r="D4" s="16">
        <v>130</v>
      </c>
      <c r="E4" s="16">
        <v>40</v>
      </c>
      <c r="F4" s="14" t="s">
        <v>36</v>
      </c>
      <c r="G4" s="21" t="str">
        <f t="shared" si="0"/>
        <v>03-MAR-2026</v>
      </c>
      <c r="H4" s="22" t="str">
        <f t="shared" si="1"/>
        <v>US</v>
      </c>
      <c r="I4" s="22" t="str">
        <f t="shared" si="2"/>
        <v>Coffee Maker Keurig</v>
      </c>
    </row>
    <row r="5" spans="1:12" ht="12.95" customHeight="1" x14ac:dyDescent="0.2">
      <c r="A5" s="15" t="s">
        <v>124</v>
      </c>
      <c r="B5" s="15" t="s">
        <v>38</v>
      </c>
      <c r="C5" s="15" t="s">
        <v>39</v>
      </c>
      <c r="D5" s="17">
        <v>900</v>
      </c>
      <c r="E5" s="17">
        <v>25</v>
      </c>
      <c r="F5" s="15" t="s">
        <v>28</v>
      </c>
      <c r="G5" s="23" t="str">
        <f t="shared" si="0"/>
        <v>11-APR-2026</v>
      </c>
      <c r="H5" s="24" t="str">
        <f t="shared" si="1"/>
        <v>US</v>
      </c>
      <c r="I5" s="24" t="str">
        <f t="shared" si="2"/>
        <v>smartphone Samsung</v>
      </c>
    </row>
    <row r="6" spans="1:12" ht="12.95" customHeight="1" x14ac:dyDescent="0.2">
      <c r="A6" s="14" t="s">
        <v>125</v>
      </c>
      <c r="B6" s="14" t="s">
        <v>41</v>
      </c>
      <c r="C6" s="14" t="s">
        <v>42</v>
      </c>
      <c r="D6" s="16">
        <v>70</v>
      </c>
      <c r="E6" s="16">
        <v>20</v>
      </c>
      <c r="F6" s="14"/>
      <c r="G6" s="21" t="str">
        <f t="shared" si="0"/>
        <v>22-MAY-2026</v>
      </c>
      <c r="H6" s="22" t="str">
        <f t="shared" si="1"/>
        <v>US</v>
      </c>
      <c r="I6" s="22" t="str">
        <f t="shared" si="2"/>
        <v>Backpack North Face</v>
      </c>
      <c r="L6" s="25" t="s">
        <v>156</v>
      </c>
    </row>
    <row r="7" spans="1:12" ht="12.95" customHeight="1" x14ac:dyDescent="0.2">
      <c r="A7" s="15" t="s">
        <v>126</v>
      </c>
      <c r="B7" s="15" t="s">
        <v>44</v>
      </c>
      <c r="C7" s="15" t="s">
        <v>45</v>
      </c>
      <c r="D7" s="15"/>
      <c r="E7" s="17">
        <v>45</v>
      </c>
      <c r="F7" s="15" t="s">
        <v>46</v>
      </c>
      <c r="G7" s="23" t="str">
        <f t="shared" si="0"/>
        <v>07-JUN-2026</v>
      </c>
      <c r="H7" s="24" t="str">
        <f t="shared" si="1"/>
        <v>UK</v>
      </c>
      <c r="I7" s="24" t="str">
        <f t="shared" si="2"/>
        <v>Headphones Sony</v>
      </c>
    </row>
    <row r="8" spans="1:12" ht="12.95" customHeight="1" x14ac:dyDescent="0.2">
      <c r="A8" s="14" t="s">
        <v>127</v>
      </c>
      <c r="B8" s="14" t="s">
        <v>48</v>
      </c>
      <c r="C8" s="14" t="s">
        <v>49</v>
      </c>
      <c r="D8" s="16">
        <v>30</v>
      </c>
      <c r="E8" s="16">
        <v>5</v>
      </c>
      <c r="F8" s="14" t="s">
        <v>32</v>
      </c>
      <c r="G8" s="21" t="str">
        <f t="shared" si="0"/>
        <v>19-JUL-2026</v>
      </c>
      <c r="H8" s="22" t="str">
        <f t="shared" si="1"/>
        <v>UK</v>
      </c>
      <c r="I8" s="22" t="str">
        <f t="shared" si="2"/>
        <v>T-shirt Adidas</v>
      </c>
    </row>
    <row r="9" spans="1:12" ht="12.95" customHeight="1" x14ac:dyDescent="0.2">
      <c r="A9" s="15" t="s">
        <v>128</v>
      </c>
      <c r="B9" s="15" t="s">
        <v>51</v>
      </c>
      <c r="C9" s="15" t="s">
        <v>52</v>
      </c>
      <c r="D9" s="17">
        <v>90</v>
      </c>
      <c r="E9" s="17">
        <v>35</v>
      </c>
      <c r="F9" s="15" t="s">
        <v>36</v>
      </c>
      <c r="G9" s="23" t="str">
        <f t="shared" si="0"/>
        <v>23-AUG-2026</v>
      </c>
      <c r="H9" s="24" t="str">
        <f t="shared" si="1"/>
        <v>UK</v>
      </c>
      <c r="I9" s="24" t="str">
        <f t="shared" si="2"/>
        <v>Blender Ninja</v>
      </c>
    </row>
    <row r="10" spans="1:12" ht="12.95" customHeight="1" x14ac:dyDescent="0.2">
      <c r="A10" s="14" t="s">
        <v>129</v>
      </c>
      <c r="B10" s="14" t="s">
        <v>54</v>
      </c>
      <c r="C10" s="14" t="s">
        <v>55</v>
      </c>
      <c r="D10" s="16">
        <v>500</v>
      </c>
      <c r="E10" s="16">
        <v>50</v>
      </c>
      <c r="F10" s="14" t="s">
        <v>28</v>
      </c>
      <c r="G10" s="21" t="str">
        <f t="shared" si="0"/>
        <v>05-SEP-2026</v>
      </c>
      <c r="H10" s="22" t="str">
        <f t="shared" si="1"/>
        <v>UK</v>
      </c>
      <c r="I10" s="22" t="str">
        <f t="shared" si="2"/>
        <v>Tablet Apple</v>
      </c>
    </row>
    <row r="11" spans="1:12" ht="12.95" customHeight="1" x14ac:dyDescent="0.2">
      <c r="A11" s="15" t="s">
        <v>130</v>
      </c>
      <c r="B11" s="15" t="s">
        <v>57</v>
      </c>
      <c r="C11" s="15" t="s">
        <v>58</v>
      </c>
      <c r="D11" s="17">
        <v>130</v>
      </c>
      <c r="E11" s="17">
        <v>10</v>
      </c>
      <c r="F11" s="15" t="s">
        <v>59</v>
      </c>
      <c r="G11" s="23" t="str">
        <f t="shared" si="0"/>
        <v>14-OCT-2026</v>
      </c>
      <c r="H11" s="24" t="str">
        <f t="shared" si="1"/>
        <v>UK</v>
      </c>
      <c r="I11" s="24" t="str">
        <f t="shared" si="2"/>
        <v>Hiking Boots Timberland</v>
      </c>
    </row>
    <row r="12" spans="1:12" ht="12.95" customHeight="1" x14ac:dyDescent="0.2">
      <c r="A12" s="14" t="s">
        <v>131</v>
      </c>
      <c r="B12" s="14" t="s">
        <v>61</v>
      </c>
      <c r="C12" s="14" t="s">
        <v>62</v>
      </c>
      <c r="D12" s="16">
        <v>950</v>
      </c>
      <c r="E12" s="16">
        <v>25</v>
      </c>
      <c r="F12" s="14" t="s">
        <v>28</v>
      </c>
      <c r="G12" s="21" t="str">
        <f t="shared" si="0"/>
        <v>17-JUN-2026</v>
      </c>
      <c r="H12" s="22" t="str">
        <f t="shared" si="1"/>
        <v>IN</v>
      </c>
      <c r="I12" s="22" t="str">
        <f t="shared" si="2"/>
        <v>Laptop HP</v>
      </c>
    </row>
    <row r="13" spans="1:12" ht="12.95" customHeight="1" x14ac:dyDescent="0.2">
      <c r="A13" s="15" t="s">
        <v>132</v>
      </c>
      <c r="B13" s="15" t="s">
        <v>30</v>
      </c>
      <c r="C13" s="15" t="s">
        <v>49</v>
      </c>
      <c r="D13" s="17">
        <v>90</v>
      </c>
      <c r="E13" s="17">
        <v>40</v>
      </c>
      <c r="F13" s="15"/>
      <c r="G13" s="23" t="str">
        <f t="shared" si="0"/>
        <v>25-NOV-2026</v>
      </c>
      <c r="H13" s="24" t="str">
        <f t="shared" si="1"/>
        <v>AU</v>
      </c>
      <c r="I13" s="24" t="str">
        <f t="shared" si="2"/>
        <v>Sneakers Adidas</v>
      </c>
    </row>
    <row r="14" spans="1:12" ht="12.95" customHeight="1" x14ac:dyDescent="0.2">
      <c r="A14" s="14" t="s">
        <v>133</v>
      </c>
      <c r="B14" s="14" t="s">
        <v>34</v>
      </c>
      <c r="C14" s="14" t="s">
        <v>65</v>
      </c>
      <c r="D14" s="16">
        <v>120</v>
      </c>
      <c r="E14" s="16">
        <v>35</v>
      </c>
      <c r="F14" s="14"/>
      <c r="G14" s="21" t="str">
        <f t="shared" si="0"/>
        <v>08-DEC-2026</v>
      </c>
      <c r="H14" s="22" t="str">
        <f t="shared" si="1"/>
        <v>DE</v>
      </c>
      <c r="I14" s="22" t="str">
        <f t="shared" si="2"/>
        <v>Coffee Maker Nespresso</v>
      </c>
    </row>
    <row r="15" spans="1:12" ht="12.95" customHeight="1" x14ac:dyDescent="0.2">
      <c r="A15" s="15" t="s">
        <v>134</v>
      </c>
      <c r="B15" s="15" t="s">
        <v>67</v>
      </c>
      <c r="C15" s="15" t="s">
        <v>68</v>
      </c>
      <c r="D15" s="17">
        <v>150</v>
      </c>
      <c r="E15" s="17">
        <v>15</v>
      </c>
      <c r="F15" s="15" t="s">
        <v>46</v>
      </c>
      <c r="G15" s="23" t="str">
        <f t="shared" si="0"/>
        <v>18-FEB-2026</v>
      </c>
      <c r="H15" s="24" t="str">
        <f t="shared" si="1"/>
        <v>CA</v>
      </c>
      <c r="I15" s="24" t="str">
        <f t="shared" si="2"/>
        <v>Smartwatch Fitbit</v>
      </c>
    </row>
    <row r="16" spans="1:12" ht="12.95" customHeight="1" x14ac:dyDescent="0.2">
      <c r="A16" s="14" t="s">
        <v>135</v>
      </c>
      <c r="B16" s="14" t="s">
        <v>70</v>
      </c>
      <c r="C16" s="14" t="s">
        <v>71</v>
      </c>
      <c r="D16" s="16">
        <v>250</v>
      </c>
      <c r="E16" s="16">
        <v>20</v>
      </c>
      <c r="F16" s="14" t="s">
        <v>46</v>
      </c>
      <c r="G16" s="21" t="str">
        <f t="shared" si="0"/>
        <v>16-APR-2026</v>
      </c>
      <c r="H16" s="22" t="str">
        <f t="shared" si="1"/>
        <v>ES</v>
      </c>
      <c r="I16" s="22" t="str">
        <f t="shared" si="2"/>
        <v>headphones Bose</v>
      </c>
    </row>
    <row r="17" spans="1:9" ht="12.95" customHeight="1" x14ac:dyDescent="0.2">
      <c r="A17" s="15" t="s">
        <v>136</v>
      </c>
      <c r="B17" s="15" t="s">
        <v>73</v>
      </c>
      <c r="C17" s="15" t="s">
        <v>74</v>
      </c>
      <c r="D17" s="17">
        <v>50</v>
      </c>
      <c r="E17" s="17">
        <v>35</v>
      </c>
      <c r="F17" s="15" t="s">
        <v>75</v>
      </c>
      <c r="G17" s="23" t="str">
        <f t="shared" si="0"/>
        <v>21-AUG-2026</v>
      </c>
      <c r="H17" s="24" t="str">
        <f t="shared" si="1"/>
        <v>CA</v>
      </c>
      <c r="I17" s="24" t="str">
        <f t="shared" si="2"/>
        <v>Laptop Bag Samsonite</v>
      </c>
    </row>
    <row r="18" spans="1:9" ht="12.95" customHeight="1" x14ac:dyDescent="0.2">
      <c r="A18" s="14" t="s">
        <v>137</v>
      </c>
      <c r="B18" s="14" t="s">
        <v>67</v>
      </c>
      <c r="C18" s="14" t="s">
        <v>77</v>
      </c>
      <c r="D18" s="16">
        <v>160</v>
      </c>
      <c r="E18" s="16">
        <v>15</v>
      </c>
      <c r="F18" s="14" t="s">
        <v>46</v>
      </c>
      <c r="G18" s="21" t="str">
        <f t="shared" si="0"/>
        <v>20-AUG-2026</v>
      </c>
      <c r="H18" s="22" t="str">
        <f t="shared" si="1"/>
        <v>CN</v>
      </c>
      <c r="I18" s="22" t="str">
        <f t="shared" si="2"/>
        <v>Smartwatch Huawei</v>
      </c>
    </row>
    <row r="19" spans="1:9" ht="12.95" customHeight="1" x14ac:dyDescent="0.2">
      <c r="A19" s="15" t="s">
        <v>138</v>
      </c>
      <c r="B19" s="15" t="s">
        <v>26</v>
      </c>
      <c r="C19" s="15" t="s">
        <v>79</v>
      </c>
      <c r="D19" s="17">
        <v>980</v>
      </c>
      <c r="E19" s="17">
        <v>10</v>
      </c>
      <c r="F19" s="15" t="s">
        <v>28</v>
      </c>
      <c r="G19" s="23" t="str">
        <f t="shared" si="0"/>
        <v>27-JAN-2026</v>
      </c>
      <c r="H19" s="24" t="str">
        <f t="shared" si="1"/>
        <v>IT</v>
      </c>
      <c r="I19" s="24" t="str">
        <f t="shared" si="2"/>
        <v>laptop Asus</v>
      </c>
    </row>
    <row r="20" spans="1:9" ht="12.95" customHeight="1" x14ac:dyDescent="0.2">
      <c r="A20" s="14" t="s">
        <v>139</v>
      </c>
      <c r="B20" s="14" t="s">
        <v>81</v>
      </c>
      <c r="C20" s="14" t="s">
        <v>82</v>
      </c>
      <c r="D20" s="16">
        <v>150</v>
      </c>
      <c r="E20" s="16">
        <v>15</v>
      </c>
      <c r="F20" s="14" t="s">
        <v>32</v>
      </c>
      <c r="G20" s="21" t="str">
        <f t="shared" si="0"/>
        <v>01-MAR-2026</v>
      </c>
      <c r="H20" s="22" t="str">
        <f t="shared" si="1"/>
        <v>UK</v>
      </c>
      <c r="I20" s="22" t="str">
        <f t="shared" si="2"/>
        <v>Sunglasses Oakley</v>
      </c>
    </row>
    <row r="21" spans="1:9" ht="12.95" customHeight="1" x14ac:dyDescent="0.2">
      <c r="A21" s="15" t="s">
        <v>140</v>
      </c>
      <c r="B21" s="15" t="s">
        <v>84</v>
      </c>
      <c r="C21" s="15" t="s">
        <v>85</v>
      </c>
      <c r="D21" s="15"/>
      <c r="E21" s="17">
        <v>10</v>
      </c>
      <c r="F21" s="15" t="s">
        <v>59</v>
      </c>
      <c r="G21" s="23" t="str">
        <f t="shared" si="0"/>
        <v>14-AUG-2026</v>
      </c>
      <c r="H21" s="24" t="str">
        <f t="shared" si="1"/>
        <v>US</v>
      </c>
      <c r="I21" s="24" t="str">
        <f t="shared" si="2"/>
        <v>Camping Tent Coleman</v>
      </c>
    </row>
    <row r="22" spans="1:9" ht="12.95" customHeight="1" x14ac:dyDescent="0.2">
      <c r="A22" s="14" t="s">
        <v>141</v>
      </c>
      <c r="B22" s="14" t="s">
        <v>87</v>
      </c>
      <c r="C22" s="14" t="s">
        <v>88</v>
      </c>
      <c r="D22" s="16">
        <v>700</v>
      </c>
      <c r="E22" s="16">
        <v>50</v>
      </c>
      <c r="F22" s="14" t="s">
        <v>28</v>
      </c>
      <c r="G22" s="21" t="str">
        <f t="shared" si="0"/>
        <v>14-MAY-2026</v>
      </c>
      <c r="H22" s="22" t="str">
        <f t="shared" si="1"/>
        <v>RU</v>
      </c>
      <c r="I22" s="22" t="str">
        <f t="shared" si="2"/>
        <v>Camera Nikon</v>
      </c>
    </row>
    <row r="23" spans="1:9" ht="12.95" customHeight="1" x14ac:dyDescent="0.2">
      <c r="A23" s="15" t="s">
        <v>142</v>
      </c>
      <c r="B23" s="15" t="s">
        <v>90</v>
      </c>
      <c r="C23" s="15" t="s">
        <v>91</v>
      </c>
      <c r="D23" s="17">
        <v>80</v>
      </c>
      <c r="E23" s="17">
        <v>20</v>
      </c>
      <c r="F23" s="15" t="s">
        <v>36</v>
      </c>
      <c r="G23" s="23" t="str">
        <f t="shared" si="0"/>
        <v>09-JAN-2026</v>
      </c>
      <c r="H23" s="24" t="str">
        <f t="shared" si="1"/>
        <v>CA</v>
      </c>
      <c r="I23" s="24" t="str">
        <f t="shared" si="2"/>
        <v>Microwave Panasonic</v>
      </c>
    </row>
    <row r="24" spans="1:9" ht="12.95" customHeight="1" x14ac:dyDescent="0.2">
      <c r="A24" s="14" t="s">
        <v>143</v>
      </c>
      <c r="B24" s="14" t="s">
        <v>93</v>
      </c>
      <c r="C24" s="14" t="s">
        <v>94</v>
      </c>
      <c r="D24" s="16">
        <v>150</v>
      </c>
      <c r="E24" s="16">
        <v>30</v>
      </c>
      <c r="F24" s="14"/>
      <c r="G24" s="21" t="str">
        <f t="shared" si="0"/>
        <v>19-JUL-2026</v>
      </c>
      <c r="H24" s="22" t="str">
        <f t="shared" si="1"/>
        <v>BR</v>
      </c>
      <c r="I24" s="22" t="str">
        <f t="shared" si="2"/>
        <v>Fitness Tracker Xiaomi</v>
      </c>
    </row>
    <row r="25" spans="1:9" ht="12.95" customHeight="1" x14ac:dyDescent="0.2">
      <c r="A25" s="15" t="s">
        <v>136</v>
      </c>
      <c r="B25" s="15" t="s">
        <v>73</v>
      </c>
      <c r="C25" s="15" t="s">
        <v>74</v>
      </c>
      <c r="D25" s="17">
        <v>50</v>
      </c>
      <c r="E25" s="17">
        <v>35</v>
      </c>
      <c r="F25" s="15" t="s">
        <v>75</v>
      </c>
      <c r="G25" s="23" t="str">
        <f t="shared" si="0"/>
        <v>21-AUG-2026</v>
      </c>
      <c r="H25" s="24" t="str">
        <f t="shared" si="1"/>
        <v>CA</v>
      </c>
      <c r="I25" s="24" t="str">
        <f t="shared" si="2"/>
        <v>Laptop Bag Samsonite</v>
      </c>
    </row>
    <row r="26" spans="1:9" ht="12.95" customHeight="1" x14ac:dyDescent="0.2">
      <c r="A26" s="14" t="s">
        <v>144</v>
      </c>
      <c r="B26" s="14" t="s">
        <v>96</v>
      </c>
      <c r="C26" s="14" t="s">
        <v>97</v>
      </c>
      <c r="D26" s="16">
        <v>800</v>
      </c>
      <c r="E26" s="16">
        <v>45</v>
      </c>
      <c r="F26" s="14" t="s">
        <v>28</v>
      </c>
      <c r="G26" s="21" t="str">
        <f t="shared" si="0"/>
        <v>29-SEP-2026</v>
      </c>
      <c r="H26" s="22" t="str">
        <f t="shared" si="1"/>
        <v>CA</v>
      </c>
      <c r="I26" s="22" t="str">
        <f t="shared" si="2"/>
        <v>Smartphone Google</v>
      </c>
    </row>
    <row r="27" spans="1:9" ht="12.95" customHeight="1" x14ac:dyDescent="0.2">
      <c r="A27" s="15" t="s">
        <v>145</v>
      </c>
      <c r="B27" s="15" t="s">
        <v>81</v>
      </c>
      <c r="C27" s="15" t="s">
        <v>99</v>
      </c>
      <c r="D27" s="15"/>
      <c r="E27" s="17">
        <v>25</v>
      </c>
      <c r="F27" s="15" t="s">
        <v>32</v>
      </c>
      <c r="G27" s="23" t="str">
        <f t="shared" si="0"/>
        <v>03-JUN-2026</v>
      </c>
      <c r="H27" s="24" t="str">
        <f t="shared" si="1"/>
        <v>CA</v>
      </c>
      <c r="I27" s="24" t="str">
        <f t="shared" si="2"/>
        <v>Sunglasses Ray-Ban</v>
      </c>
    </row>
    <row r="28" spans="1:9" ht="12.95" customHeight="1" x14ac:dyDescent="0.2">
      <c r="A28" s="14" t="s">
        <v>146</v>
      </c>
      <c r="B28" s="14" t="s">
        <v>51</v>
      </c>
      <c r="C28" s="14" t="s">
        <v>101</v>
      </c>
      <c r="D28" s="16">
        <v>400</v>
      </c>
      <c r="E28" s="16">
        <v>40</v>
      </c>
      <c r="F28" s="14" t="s">
        <v>36</v>
      </c>
      <c r="G28" s="21" t="str">
        <f t="shared" si="0"/>
        <v>11-JUL-2026</v>
      </c>
      <c r="H28" s="22" t="str">
        <f t="shared" si="1"/>
        <v>CA</v>
      </c>
      <c r="I28" s="22" t="str">
        <f t="shared" si="2"/>
        <v>Blender Vitamix</v>
      </c>
    </row>
    <row r="29" spans="1:9" ht="12.95" customHeight="1" x14ac:dyDescent="0.2">
      <c r="A29" s="15" t="s">
        <v>135</v>
      </c>
      <c r="B29" s="15" t="s">
        <v>70</v>
      </c>
      <c r="C29" s="15" t="s">
        <v>71</v>
      </c>
      <c r="D29" s="17">
        <v>250</v>
      </c>
      <c r="E29" s="17">
        <v>20</v>
      </c>
      <c r="F29" s="15" t="s">
        <v>46</v>
      </c>
      <c r="G29" s="23" t="str">
        <f t="shared" si="0"/>
        <v>16-APR-2026</v>
      </c>
      <c r="H29" s="24" t="str">
        <f t="shared" si="1"/>
        <v>ES</v>
      </c>
      <c r="I29" s="24" t="str">
        <f t="shared" si="2"/>
        <v>headphones Bose</v>
      </c>
    </row>
    <row r="30" spans="1:9" ht="12.95" customHeight="1" x14ac:dyDescent="0.2">
      <c r="A30" s="14" t="s">
        <v>147</v>
      </c>
      <c r="B30" s="14" t="s">
        <v>103</v>
      </c>
      <c r="C30" s="14" t="s">
        <v>104</v>
      </c>
      <c r="D30" s="16">
        <v>60</v>
      </c>
      <c r="E30" s="16">
        <v>30</v>
      </c>
      <c r="F30" s="14" t="s">
        <v>32</v>
      </c>
      <c r="G30" s="21" t="str">
        <f t="shared" si="0"/>
        <v>07-MAR-2026</v>
      </c>
      <c r="H30" s="22" t="str">
        <f t="shared" si="1"/>
        <v>CA</v>
      </c>
      <c r="I30" s="22" t="str">
        <f t="shared" si="2"/>
        <v>Dress Zara</v>
      </c>
    </row>
    <row r="31" spans="1:9" ht="12.95" customHeight="1" x14ac:dyDescent="0.2">
      <c r="A31" s="15" t="s">
        <v>148</v>
      </c>
      <c r="B31" s="15" t="s">
        <v>106</v>
      </c>
      <c r="C31" s="15" t="s">
        <v>107</v>
      </c>
      <c r="D31" s="17">
        <v>40</v>
      </c>
      <c r="E31" s="17">
        <v>10</v>
      </c>
      <c r="F31" s="15" t="s">
        <v>36</v>
      </c>
      <c r="G31" s="23" t="str">
        <f t="shared" si="0"/>
        <v>13-APR-2026</v>
      </c>
      <c r="H31" s="24" t="str">
        <f t="shared" si="1"/>
        <v>CA</v>
      </c>
      <c r="I31" s="24" t="str">
        <f t="shared" si="2"/>
        <v>Toaster Hamilton</v>
      </c>
    </row>
    <row r="32" spans="1:9" ht="12.95" customHeight="1" x14ac:dyDescent="0.2">
      <c r="A32" s="14" t="s">
        <v>149</v>
      </c>
      <c r="B32" s="14" t="s">
        <v>93</v>
      </c>
      <c r="C32" s="14" t="s">
        <v>109</v>
      </c>
      <c r="D32" s="16">
        <v>130</v>
      </c>
      <c r="E32" s="16">
        <v>5</v>
      </c>
      <c r="F32" s="14" t="s">
        <v>28</v>
      </c>
      <c r="G32" s="21" t="str">
        <f t="shared" si="0"/>
        <v>24-MAY-2026</v>
      </c>
      <c r="H32" s="22" t="str">
        <f t="shared" si="1"/>
        <v>CA</v>
      </c>
      <c r="I32" s="22" t="str">
        <f t="shared" si="2"/>
        <v>Fitness Tracker Garmin</v>
      </c>
    </row>
    <row r="33" spans="1:9" ht="12.95" customHeight="1" x14ac:dyDescent="0.2">
      <c r="A33" s="15" t="s">
        <v>150</v>
      </c>
      <c r="B33" s="15" t="s">
        <v>111</v>
      </c>
      <c r="C33" s="15" t="s">
        <v>112</v>
      </c>
      <c r="D33" s="17">
        <v>50</v>
      </c>
      <c r="E33" s="17">
        <v>50</v>
      </c>
      <c r="F33" s="15" t="s">
        <v>32</v>
      </c>
      <c r="G33" s="23" t="str">
        <f t="shared" si="0"/>
        <v>02-DEC-2026</v>
      </c>
      <c r="H33" s="24" t="str">
        <f t="shared" si="1"/>
        <v>CA</v>
      </c>
      <c r="I33" s="24" t="str">
        <f t="shared" si="2"/>
        <v>Jeans Levi's</v>
      </c>
    </row>
    <row r="34" spans="1:9" ht="12.95" customHeight="1" x14ac:dyDescent="0.2">
      <c r="A34" s="14" t="s">
        <v>151</v>
      </c>
      <c r="B34" s="14" t="s">
        <v>61</v>
      </c>
      <c r="C34" s="14" t="s">
        <v>62</v>
      </c>
      <c r="D34" s="16">
        <v>950</v>
      </c>
      <c r="E34" s="16">
        <v>25</v>
      </c>
      <c r="F34" s="14" t="s">
        <v>28</v>
      </c>
      <c r="G34" s="21" t="str">
        <f t="shared" si="0"/>
        <v>17-JUN-2026</v>
      </c>
      <c r="H34" s="22" t="str">
        <f t="shared" si="1"/>
        <v>IN</v>
      </c>
      <c r="I34" s="22" t="str">
        <f t="shared" si="2"/>
        <v>Laptop HP</v>
      </c>
    </row>
    <row r="35" spans="1:9" ht="12.95" customHeight="1" x14ac:dyDescent="0.2">
      <c r="A35" s="15" t="s">
        <v>152</v>
      </c>
      <c r="B35" s="15" t="s">
        <v>114</v>
      </c>
      <c r="C35" s="15" t="s">
        <v>115</v>
      </c>
      <c r="D35" s="17">
        <v>100</v>
      </c>
      <c r="E35" s="17">
        <v>20</v>
      </c>
      <c r="F35" s="15" t="s">
        <v>75</v>
      </c>
      <c r="G35" s="23" t="str">
        <f t="shared" si="0"/>
        <v>09-JUL-2026</v>
      </c>
      <c r="H35" s="24" t="str">
        <f t="shared" si="1"/>
        <v>FR</v>
      </c>
      <c r="I35" s="24" t="str">
        <f t="shared" si="2"/>
        <v>Watch Casio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BD7C9-ACE9-447B-9290-0A0BF2EFAFEE}">
  <dimension ref="A1:R35"/>
  <sheetViews>
    <sheetView tabSelected="1" workbookViewId="0">
      <selection activeCell="U6" sqref="U6"/>
    </sheetView>
  </sheetViews>
  <sheetFormatPr defaultRowHeight="12.75" x14ac:dyDescent="0.2"/>
  <cols>
    <col min="1" max="1" width="19.140625" customWidth="1"/>
    <col min="2" max="2" width="12.7109375" customWidth="1"/>
    <col min="6" max="6" width="11.42578125" customWidth="1"/>
    <col min="7" max="7" width="10.140625" bestFit="1" customWidth="1"/>
    <col min="8" max="8" width="9" bestFit="1" customWidth="1"/>
    <col min="9" max="9" width="21.7109375" bestFit="1" customWidth="1"/>
  </cols>
  <sheetData>
    <row r="1" spans="1:18" ht="12.95" customHeight="1" x14ac:dyDescent="0.2">
      <c r="A1" s="26" t="s">
        <v>19</v>
      </c>
      <c r="B1" s="26" t="s">
        <v>20</v>
      </c>
      <c r="C1" s="26" t="s">
        <v>21</v>
      </c>
      <c r="D1" s="26" t="s">
        <v>22</v>
      </c>
      <c r="E1" s="26" t="s">
        <v>23</v>
      </c>
      <c r="F1" s="26" t="s">
        <v>24</v>
      </c>
      <c r="G1" s="27" t="s">
        <v>116</v>
      </c>
      <c r="H1" s="26" t="s">
        <v>117</v>
      </c>
      <c r="I1" s="26" t="s">
        <v>118</v>
      </c>
      <c r="J1" s="26" t="s">
        <v>22</v>
      </c>
      <c r="K1" s="26" t="s">
        <v>23</v>
      </c>
      <c r="L1" s="26" t="s">
        <v>24</v>
      </c>
    </row>
    <row r="2" spans="1:18" ht="12.95" customHeight="1" x14ac:dyDescent="0.2">
      <c r="A2" s="14" t="s">
        <v>121</v>
      </c>
      <c r="B2" s="14" t="s">
        <v>26</v>
      </c>
      <c r="C2" s="14" t="s">
        <v>27</v>
      </c>
      <c r="D2" s="16">
        <v>1000</v>
      </c>
      <c r="E2" s="16">
        <v>30</v>
      </c>
      <c r="F2" s="14" t="s">
        <v>28</v>
      </c>
      <c r="G2" s="28">
        <f>DATEVALUE(LEFT(A2,11))</f>
        <v>46050</v>
      </c>
      <c r="H2" s="29" t="str">
        <f>RIGHT(A2,2)</f>
        <v>US</v>
      </c>
      <c r="I2" s="29" t="str">
        <f>_xlfn.CONCAT(B2," ",C2)</f>
        <v>laptop Dell</v>
      </c>
      <c r="J2" s="16">
        <v>1000</v>
      </c>
      <c r="K2" s="16">
        <v>30</v>
      </c>
      <c r="L2" s="32" t="s">
        <v>28</v>
      </c>
    </row>
    <row r="3" spans="1:18" ht="12.95" customHeight="1" x14ac:dyDescent="0.2">
      <c r="A3" s="15" t="s">
        <v>122</v>
      </c>
      <c r="B3" s="15" t="s">
        <v>30</v>
      </c>
      <c r="C3" s="15" t="s">
        <v>31</v>
      </c>
      <c r="D3" s="17">
        <v>80</v>
      </c>
      <c r="E3" s="17">
        <v>15</v>
      </c>
      <c r="F3" s="15" t="s">
        <v>32</v>
      </c>
      <c r="G3" s="30">
        <f t="shared" ref="G3:G35" si="0">DATEVALUE(LEFT(A3,11))</f>
        <v>46068</v>
      </c>
      <c r="H3" s="31" t="str">
        <f t="shared" ref="H3:H35" si="1">RIGHT(A3,2)</f>
        <v>US</v>
      </c>
      <c r="I3" s="31" t="str">
        <f t="shared" ref="I3:I35" si="2">_xlfn.CONCAT(B3," ",C3)</f>
        <v>Sneakers Nike</v>
      </c>
      <c r="J3" s="17">
        <v>80</v>
      </c>
      <c r="K3" s="17">
        <v>15</v>
      </c>
      <c r="L3" s="15" t="s">
        <v>32</v>
      </c>
    </row>
    <row r="4" spans="1:18" ht="12.95" customHeight="1" x14ac:dyDescent="0.2">
      <c r="A4" s="14" t="s">
        <v>123</v>
      </c>
      <c r="B4" s="14" t="s">
        <v>34</v>
      </c>
      <c r="C4" s="14" t="s">
        <v>35</v>
      </c>
      <c r="D4" s="16">
        <v>130</v>
      </c>
      <c r="E4" s="16">
        <v>40</v>
      </c>
      <c r="F4" s="14" t="s">
        <v>36</v>
      </c>
      <c r="G4" s="28">
        <f t="shared" si="0"/>
        <v>46084</v>
      </c>
      <c r="H4" s="29" t="str">
        <f t="shared" si="1"/>
        <v>US</v>
      </c>
      <c r="I4" s="29" t="str">
        <f t="shared" si="2"/>
        <v>Coffee Maker Keurig</v>
      </c>
      <c r="J4" s="16">
        <v>130</v>
      </c>
      <c r="K4" s="16">
        <v>40</v>
      </c>
      <c r="L4" s="14" t="s">
        <v>36</v>
      </c>
      <c r="N4" s="9">
        <v>5</v>
      </c>
      <c r="O4" s="33" t="s">
        <v>157</v>
      </c>
      <c r="P4" s="33"/>
      <c r="Q4" s="33"/>
      <c r="R4" s="33"/>
    </row>
    <row r="5" spans="1:18" ht="12.95" customHeight="1" x14ac:dyDescent="0.2">
      <c r="A5" s="15" t="s">
        <v>124</v>
      </c>
      <c r="B5" s="15" t="s">
        <v>38</v>
      </c>
      <c r="C5" s="15" t="s">
        <v>39</v>
      </c>
      <c r="D5" s="17">
        <v>900</v>
      </c>
      <c r="E5" s="17">
        <v>25</v>
      </c>
      <c r="F5" s="15" t="s">
        <v>28</v>
      </c>
      <c r="G5" s="30">
        <f t="shared" si="0"/>
        <v>46123</v>
      </c>
      <c r="H5" s="31" t="str">
        <f t="shared" si="1"/>
        <v>US</v>
      </c>
      <c r="I5" s="31" t="str">
        <f t="shared" si="2"/>
        <v>smartphone Samsung</v>
      </c>
      <c r="J5" s="17">
        <v>900</v>
      </c>
      <c r="K5" s="17">
        <v>25</v>
      </c>
      <c r="L5" s="15" t="s">
        <v>28</v>
      </c>
      <c r="O5" s="33"/>
      <c r="P5" s="33"/>
      <c r="Q5" s="33"/>
      <c r="R5" s="33"/>
    </row>
    <row r="6" spans="1:18" ht="12.95" customHeight="1" x14ac:dyDescent="0.2">
      <c r="A6" s="14" t="s">
        <v>125</v>
      </c>
      <c r="B6" s="14" t="s">
        <v>41</v>
      </c>
      <c r="C6" s="14" t="s">
        <v>42</v>
      </c>
      <c r="D6" s="16">
        <v>70</v>
      </c>
      <c r="E6" s="16">
        <v>20</v>
      </c>
      <c r="F6" s="14"/>
      <c r="G6" s="28">
        <f t="shared" si="0"/>
        <v>46164</v>
      </c>
      <c r="H6" s="29" t="str">
        <f t="shared" si="1"/>
        <v>US</v>
      </c>
      <c r="I6" s="29" t="str">
        <f t="shared" si="2"/>
        <v>Backpack North Face</v>
      </c>
      <c r="J6" s="16">
        <v>70</v>
      </c>
      <c r="K6" s="16">
        <v>20</v>
      </c>
      <c r="L6" s="14" t="s">
        <v>75</v>
      </c>
    </row>
    <row r="7" spans="1:18" ht="12.95" customHeight="1" x14ac:dyDescent="0.2">
      <c r="A7" s="15" t="s">
        <v>126</v>
      </c>
      <c r="B7" s="15" t="s">
        <v>44</v>
      </c>
      <c r="C7" s="15" t="s">
        <v>45</v>
      </c>
      <c r="D7" s="15"/>
      <c r="E7" s="17">
        <v>45</v>
      </c>
      <c r="F7" s="15" t="s">
        <v>46</v>
      </c>
      <c r="G7" s="30">
        <f t="shared" si="0"/>
        <v>46180</v>
      </c>
      <c r="H7" s="31" t="str">
        <f t="shared" si="1"/>
        <v>UK</v>
      </c>
      <c r="I7" s="31" t="str">
        <f t="shared" si="2"/>
        <v>Headphones Sony</v>
      </c>
      <c r="J7" s="15">
        <v>309.35399999999998</v>
      </c>
      <c r="K7" s="17">
        <v>45</v>
      </c>
      <c r="L7" s="15" t="s">
        <v>28</v>
      </c>
    </row>
    <row r="8" spans="1:18" ht="12.95" customHeight="1" x14ac:dyDescent="0.2">
      <c r="A8" s="14" t="s">
        <v>127</v>
      </c>
      <c r="B8" s="14" t="s">
        <v>48</v>
      </c>
      <c r="C8" s="14" t="s">
        <v>49</v>
      </c>
      <c r="D8" s="16">
        <v>30</v>
      </c>
      <c r="E8" s="16">
        <v>5</v>
      </c>
      <c r="F8" s="14" t="s">
        <v>32</v>
      </c>
      <c r="G8" s="28">
        <f t="shared" si="0"/>
        <v>46222</v>
      </c>
      <c r="H8" s="29" t="str">
        <f t="shared" si="1"/>
        <v>UK</v>
      </c>
      <c r="I8" s="29" t="str">
        <f t="shared" si="2"/>
        <v>T-shirt Adidas</v>
      </c>
      <c r="J8" s="16">
        <v>30</v>
      </c>
      <c r="K8" s="16">
        <v>5</v>
      </c>
      <c r="L8" s="14" t="s">
        <v>32</v>
      </c>
    </row>
    <row r="9" spans="1:18" ht="12.95" customHeight="1" x14ac:dyDescent="0.2">
      <c r="A9" s="15" t="s">
        <v>128</v>
      </c>
      <c r="B9" s="15" t="s">
        <v>51</v>
      </c>
      <c r="C9" s="15" t="s">
        <v>52</v>
      </c>
      <c r="D9" s="17">
        <v>90</v>
      </c>
      <c r="E9" s="17">
        <v>35</v>
      </c>
      <c r="F9" s="15" t="s">
        <v>36</v>
      </c>
      <c r="G9" s="30">
        <f t="shared" si="0"/>
        <v>46257</v>
      </c>
      <c r="H9" s="31" t="str">
        <f t="shared" si="1"/>
        <v>UK</v>
      </c>
      <c r="I9" s="31" t="str">
        <f t="shared" si="2"/>
        <v>Blender Ninja</v>
      </c>
      <c r="J9" s="17">
        <v>90</v>
      </c>
      <c r="K9" s="17">
        <v>35</v>
      </c>
      <c r="L9" s="15" t="s">
        <v>36</v>
      </c>
    </row>
    <row r="10" spans="1:18" ht="12.95" customHeight="1" x14ac:dyDescent="0.2">
      <c r="A10" s="14" t="s">
        <v>129</v>
      </c>
      <c r="B10" s="14" t="s">
        <v>54</v>
      </c>
      <c r="C10" s="14" t="s">
        <v>55</v>
      </c>
      <c r="D10" s="16">
        <v>500</v>
      </c>
      <c r="E10" s="16">
        <v>50</v>
      </c>
      <c r="F10" s="14" t="s">
        <v>28</v>
      </c>
      <c r="G10" s="28">
        <f t="shared" si="0"/>
        <v>46270</v>
      </c>
      <c r="H10" s="29" t="str">
        <f t="shared" si="1"/>
        <v>UK</v>
      </c>
      <c r="I10" s="29" t="str">
        <f t="shared" si="2"/>
        <v>Tablet Apple</v>
      </c>
      <c r="J10" s="16">
        <v>500</v>
      </c>
      <c r="K10" s="16">
        <v>50</v>
      </c>
      <c r="L10" s="14" t="s">
        <v>28</v>
      </c>
    </row>
    <row r="11" spans="1:18" ht="12.95" customHeight="1" x14ac:dyDescent="0.2">
      <c r="A11" s="15" t="s">
        <v>130</v>
      </c>
      <c r="B11" s="15" t="s">
        <v>57</v>
      </c>
      <c r="C11" s="15" t="s">
        <v>58</v>
      </c>
      <c r="D11" s="17">
        <v>130</v>
      </c>
      <c r="E11" s="17">
        <v>10</v>
      </c>
      <c r="F11" s="15" t="s">
        <v>59</v>
      </c>
      <c r="G11" s="30">
        <f t="shared" si="0"/>
        <v>46309</v>
      </c>
      <c r="H11" s="31" t="str">
        <f t="shared" si="1"/>
        <v>UK</v>
      </c>
      <c r="I11" s="31" t="str">
        <f t="shared" si="2"/>
        <v>Hiking Boots Timberland</v>
      </c>
      <c r="J11" s="17">
        <v>130</v>
      </c>
      <c r="K11" s="17">
        <v>10</v>
      </c>
      <c r="L11" s="15" t="s">
        <v>59</v>
      </c>
    </row>
    <row r="12" spans="1:18" ht="12.95" customHeight="1" x14ac:dyDescent="0.2">
      <c r="A12" s="14" t="s">
        <v>131</v>
      </c>
      <c r="B12" s="14" t="s">
        <v>61</v>
      </c>
      <c r="C12" s="14" t="s">
        <v>62</v>
      </c>
      <c r="D12" s="16">
        <v>950</v>
      </c>
      <c r="E12" s="16">
        <v>25</v>
      </c>
      <c r="F12" s="14" t="s">
        <v>28</v>
      </c>
      <c r="G12" s="28">
        <f t="shared" si="0"/>
        <v>46190</v>
      </c>
      <c r="H12" s="29" t="str">
        <f t="shared" si="1"/>
        <v>IN</v>
      </c>
      <c r="I12" s="29" t="str">
        <f t="shared" si="2"/>
        <v>Laptop HP</v>
      </c>
      <c r="J12" s="16">
        <v>950</v>
      </c>
      <c r="K12" s="16">
        <v>25</v>
      </c>
      <c r="L12" s="14" t="s">
        <v>28</v>
      </c>
    </row>
    <row r="13" spans="1:18" ht="12.95" customHeight="1" x14ac:dyDescent="0.2">
      <c r="A13" s="15" t="s">
        <v>132</v>
      </c>
      <c r="B13" s="15" t="s">
        <v>30</v>
      </c>
      <c r="C13" s="15" t="s">
        <v>49</v>
      </c>
      <c r="D13" s="17">
        <v>90</v>
      </c>
      <c r="E13" s="17">
        <v>40</v>
      </c>
      <c r="F13" s="15"/>
      <c r="G13" s="30">
        <f t="shared" si="0"/>
        <v>46351</v>
      </c>
      <c r="H13" s="31" t="str">
        <f t="shared" si="1"/>
        <v>AU</v>
      </c>
      <c r="I13" s="31" t="str">
        <f t="shared" si="2"/>
        <v>Sneakers Adidas</v>
      </c>
      <c r="J13" s="17">
        <v>90</v>
      </c>
      <c r="K13" s="17">
        <v>40</v>
      </c>
      <c r="L13" s="15" t="s">
        <v>32</v>
      </c>
    </row>
    <row r="14" spans="1:18" ht="12.95" customHeight="1" x14ac:dyDescent="0.2">
      <c r="A14" s="14" t="s">
        <v>133</v>
      </c>
      <c r="B14" s="14" t="s">
        <v>34</v>
      </c>
      <c r="C14" s="14" t="s">
        <v>65</v>
      </c>
      <c r="D14" s="16">
        <v>120</v>
      </c>
      <c r="E14" s="16">
        <v>35</v>
      </c>
      <c r="F14" s="14"/>
      <c r="G14" s="28">
        <f t="shared" si="0"/>
        <v>46364</v>
      </c>
      <c r="H14" s="29" t="str">
        <f t="shared" si="1"/>
        <v>DE</v>
      </c>
      <c r="I14" s="29" t="str">
        <f t="shared" si="2"/>
        <v>Coffee Maker Nespresso</v>
      </c>
      <c r="J14" s="16">
        <v>120</v>
      </c>
      <c r="K14" s="16">
        <v>35</v>
      </c>
      <c r="L14" s="14" t="s">
        <v>36</v>
      </c>
    </row>
    <row r="15" spans="1:18" ht="12.95" customHeight="1" x14ac:dyDescent="0.2">
      <c r="A15" s="15" t="s">
        <v>134</v>
      </c>
      <c r="B15" s="15" t="s">
        <v>67</v>
      </c>
      <c r="C15" s="15" t="s">
        <v>68</v>
      </c>
      <c r="D15" s="17">
        <v>150</v>
      </c>
      <c r="E15" s="17">
        <v>15</v>
      </c>
      <c r="F15" s="15" t="s">
        <v>46</v>
      </c>
      <c r="G15" s="30">
        <f t="shared" si="0"/>
        <v>46071</v>
      </c>
      <c r="H15" s="31" t="str">
        <f t="shared" si="1"/>
        <v>CA</v>
      </c>
      <c r="I15" s="31" t="str">
        <f t="shared" si="2"/>
        <v>Smartwatch Fitbit</v>
      </c>
      <c r="J15" s="17">
        <v>150</v>
      </c>
      <c r="K15" s="17">
        <v>15</v>
      </c>
      <c r="L15" s="15" t="s">
        <v>28</v>
      </c>
    </row>
    <row r="16" spans="1:18" ht="12.95" customHeight="1" x14ac:dyDescent="0.2">
      <c r="A16" s="14" t="s">
        <v>135</v>
      </c>
      <c r="B16" s="14" t="s">
        <v>70</v>
      </c>
      <c r="C16" s="14" t="s">
        <v>71</v>
      </c>
      <c r="D16" s="16">
        <v>250</v>
      </c>
      <c r="E16" s="16">
        <v>20</v>
      </c>
      <c r="F16" s="14" t="s">
        <v>46</v>
      </c>
      <c r="G16" s="28">
        <f t="shared" si="0"/>
        <v>46128</v>
      </c>
      <c r="H16" s="29" t="str">
        <f t="shared" si="1"/>
        <v>ES</v>
      </c>
      <c r="I16" s="29" t="str">
        <f t="shared" si="2"/>
        <v>headphones Bose</v>
      </c>
      <c r="J16" s="16">
        <v>250</v>
      </c>
      <c r="K16" s="16">
        <v>20</v>
      </c>
      <c r="L16" s="14" t="s">
        <v>28</v>
      </c>
    </row>
    <row r="17" spans="1:12" ht="12.95" customHeight="1" x14ac:dyDescent="0.2">
      <c r="A17" s="15" t="s">
        <v>136</v>
      </c>
      <c r="B17" s="15" t="s">
        <v>73</v>
      </c>
      <c r="C17" s="15" t="s">
        <v>74</v>
      </c>
      <c r="D17" s="17">
        <v>50</v>
      </c>
      <c r="E17" s="17">
        <v>35</v>
      </c>
      <c r="F17" s="15" t="s">
        <v>75</v>
      </c>
      <c r="G17" s="30">
        <f t="shared" si="0"/>
        <v>46255</v>
      </c>
      <c r="H17" s="31" t="str">
        <f t="shared" si="1"/>
        <v>CA</v>
      </c>
      <c r="I17" s="31" t="str">
        <f t="shared" si="2"/>
        <v>Laptop Bag Samsonite</v>
      </c>
      <c r="J17" s="17">
        <v>50</v>
      </c>
      <c r="K17" s="17">
        <v>35</v>
      </c>
      <c r="L17" s="15" t="s">
        <v>75</v>
      </c>
    </row>
    <row r="18" spans="1:12" ht="12.95" customHeight="1" x14ac:dyDescent="0.2">
      <c r="A18" s="14" t="s">
        <v>137</v>
      </c>
      <c r="B18" s="14" t="s">
        <v>67</v>
      </c>
      <c r="C18" s="14" t="s">
        <v>77</v>
      </c>
      <c r="D18" s="16">
        <v>160</v>
      </c>
      <c r="E18" s="16">
        <v>15</v>
      </c>
      <c r="F18" s="14" t="s">
        <v>46</v>
      </c>
      <c r="G18" s="28">
        <f t="shared" si="0"/>
        <v>46254</v>
      </c>
      <c r="H18" s="29" t="str">
        <f t="shared" si="1"/>
        <v>CN</v>
      </c>
      <c r="I18" s="29" t="str">
        <f t="shared" si="2"/>
        <v>Smartwatch Huawei</v>
      </c>
      <c r="J18" s="16">
        <v>160</v>
      </c>
      <c r="K18" s="16">
        <v>15</v>
      </c>
      <c r="L18" s="14" t="s">
        <v>28</v>
      </c>
    </row>
    <row r="19" spans="1:12" ht="12.95" customHeight="1" x14ac:dyDescent="0.2">
      <c r="A19" s="15" t="s">
        <v>138</v>
      </c>
      <c r="B19" s="15" t="s">
        <v>26</v>
      </c>
      <c r="C19" s="15" t="s">
        <v>79</v>
      </c>
      <c r="D19" s="17">
        <v>980</v>
      </c>
      <c r="E19" s="17">
        <v>10</v>
      </c>
      <c r="F19" s="15" t="s">
        <v>28</v>
      </c>
      <c r="G19" s="30">
        <f t="shared" si="0"/>
        <v>46049</v>
      </c>
      <c r="H19" s="31" t="str">
        <f t="shared" si="1"/>
        <v>IT</v>
      </c>
      <c r="I19" s="31" t="str">
        <f t="shared" si="2"/>
        <v>laptop Asus</v>
      </c>
      <c r="J19" s="17">
        <v>980</v>
      </c>
      <c r="K19" s="17">
        <v>10</v>
      </c>
      <c r="L19" s="15" t="s">
        <v>28</v>
      </c>
    </row>
    <row r="20" spans="1:12" ht="12.95" customHeight="1" x14ac:dyDescent="0.2">
      <c r="A20" s="14" t="s">
        <v>139</v>
      </c>
      <c r="B20" s="14" t="s">
        <v>81</v>
      </c>
      <c r="C20" s="14" t="s">
        <v>82</v>
      </c>
      <c r="D20" s="16">
        <v>150</v>
      </c>
      <c r="E20" s="16">
        <v>15</v>
      </c>
      <c r="F20" s="14" t="s">
        <v>32</v>
      </c>
      <c r="G20" s="28">
        <f t="shared" si="0"/>
        <v>46082</v>
      </c>
      <c r="H20" s="29" t="str">
        <f t="shared" si="1"/>
        <v>UK</v>
      </c>
      <c r="I20" s="29" t="str">
        <f t="shared" si="2"/>
        <v>Sunglasses Oakley</v>
      </c>
      <c r="J20" s="16">
        <v>150</v>
      </c>
      <c r="K20" s="16">
        <v>15</v>
      </c>
      <c r="L20" s="14" t="s">
        <v>32</v>
      </c>
    </row>
    <row r="21" spans="1:12" ht="12.95" customHeight="1" x14ac:dyDescent="0.2">
      <c r="A21" s="15" t="s">
        <v>140</v>
      </c>
      <c r="B21" s="15" t="s">
        <v>84</v>
      </c>
      <c r="C21" s="15" t="s">
        <v>85</v>
      </c>
      <c r="D21" s="15"/>
      <c r="E21" s="17">
        <v>10</v>
      </c>
      <c r="F21" s="15" t="s">
        <v>59</v>
      </c>
      <c r="G21" s="30">
        <f t="shared" si="0"/>
        <v>46248</v>
      </c>
      <c r="H21" s="31" t="str">
        <f t="shared" si="1"/>
        <v>US</v>
      </c>
      <c r="I21" s="31" t="str">
        <f t="shared" si="2"/>
        <v>Camping Tent Coleman</v>
      </c>
      <c r="J21" s="15">
        <v>309.35399999999998</v>
      </c>
      <c r="K21" s="17">
        <v>10</v>
      </c>
      <c r="L21" s="15" t="s">
        <v>59</v>
      </c>
    </row>
    <row r="22" spans="1:12" ht="12.95" customHeight="1" x14ac:dyDescent="0.2">
      <c r="A22" s="14" t="s">
        <v>141</v>
      </c>
      <c r="B22" s="14" t="s">
        <v>87</v>
      </c>
      <c r="C22" s="14" t="s">
        <v>88</v>
      </c>
      <c r="D22" s="16">
        <v>700</v>
      </c>
      <c r="E22" s="16">
        <v>50</v>
      </c>
      <c r="F22" s="14" t="s">
        <v>28</v>
      </c>
      <c r="G22" s="28">
        <f t="shared" si="0"/>
        <v>46156</v>
      </c>
      <c r="H22" s="29" t="str">
        <f t="shared" si="1"/>
        <v>RU</v>
      </c>
      <c r="I22" s="29" t="str">
        <f t="shared" si="2"/>
        <v>Camera Nikon</v>
      </c>
      <c r="J22" s="16">
        <v>700</v>
      </c>
      <c r="K22" s="16">
        <v>50</v>
      </c>
      <c r="L22" s="14" t="s">
        <v>28</v>
      </c>
    </row>
    <row r="23" spans="1:12" ht="12.95" customHeight="1" x14ac:dyDescent="0.2">
      <c r="A23" s="15" t="s">
        <v>142</v>
      </c>
      <c r="B23" s="15" t="s">
        <v>90</v>
      </c>
      <c r="C23" s="15" t="s">
        <v>91</v>
      </c>
      <c r="D23" s="17">
        <v>80</v>
      </c>
      <c r="E23" s="17">
        <v>20</v>
      </c>
      <c r="F23" s="15" t="s">
        <v>36</v>
      </c>
      <c r="G23" s="30">
        <f t="shared" si="0"/>
        <v>46031</v>
      </c>
      <c r="H23" s="31" t="str">
        <f t="shared" si="1"/>
        <v>CA</v>
      </c>
      <c r="I23" s="31" t="str">
        <f t="shared" si="2"/>
        <v>Microwave Panasonic</v>
      </c>
      <c r="J23" s="17">
        <v>80</v>
      </c>
      <c r="K23" s="17">
        <v>20</v>
      </c>
      <c r="L23" s="15" t="s">
        <v>36</v>
      </c>
    </row>
    <row r="24" spans="1:12" ht="12.95" customHeight="1" x14ac:dyDescent="0.2">
      <c r="A24" s="14" t="s">
        <v>143</v>
      </c>
      <c r="B24" s="14" t="s">
        <v>93</v>
      </c>
      <c r="C24" s="14" t="s">
        <v>94</v>
      </c>
      <c r="D24" s="16">
        <v>150</v>
      </c>
      <c r="E24" s="16">
        <v>30</v>
      </c>
      <c r="F24" s="14"/>
      <c r="G24" s="28">
        <f t="shared" si="0"/>
        <v>46222</v>
      </c>
      <c r="H24" s="29" t="str">
        <f t="shared" si="1"/>
        <v>BR</v>
      </c>
      <c r="I24" s="29" t="str">
        <f t="shared" si="2"/>
        <v>Fitness Tracker Xiaomi</v>
      </c>
      <c r="J24" s="16">
        <v>150</v>
      </c>
      <c r="K24" s="16">
        <v>30</v>
      </c>
      <c r="L24" s="14" t="s">
        <v>28</v>
      </c>
    </row>
    <row r="25" spans="1:12" ht="12.95" customHeight="1" x14ac:dyDescent="0.2">
      <c r="A25" s="15" t="s">
        <v>136</v>
      </c>
      <c r="B25" s="15" t="s">
        <v>73</v>
      </c>
      <c r="C25" s="15" t="s">
        <v>74</v>
      </c>
      <c r="D25" s="17">
        <v>50</v>
      </c>
      <c r="E25" s="17">
        <v>35</v>
      </c>
      <c r="F25" s="15" t="s">
        <v>75</v>
      </c>
      <c r="G25" s="30">
        <f t="shared" si="0"/>
        <v>46255</v>
      </c>
      <c r="H25" s="31" t="str">
        <f t="shared" si="1"/>
        <v>CA</v>
      </c>
      <c r="I25" s="31" t="str">
        <f t="shared" si="2"/>
        <v>Laptop Bag Samsonite</v>
      </c>
      <c r="J25" s="17">
        <v>50</v>
      </c>
      <c r="K25" s="17">
        <v>35</v>
      </c>
      <c r="L25" s="15" t="s">
        <v>75</v>
      </c>
    </row>
    <row r="26" spans="1:12" ht="12.95" customHeight="1" x14ac:dyDescent="0.2">
      <c r="A26" s="14" t="s">
        <v>144</v>
      </c>
      <c r="B26" s="14" t="s">
        <v>96</v>
      </c>
      <c r="C26" s="14" t="s">
        <v>97</v>
      </c>
      <c r="D26" s="16">
        <v>800</v>
      </c>
      <c r="E26" s="16">
        <v>45</v>
      </c>
      <c r="F26" s="14" t="s">
        <v>28</v>
      </c>
      <c r="G26" s="28">
        <f t="shared" si="0"/>
        <v>46294</v>
      </c>
      <c r="H26" s="29" t="str">
        <f t="shared" si="1"/>
        <v>CA</v>
      </c>
      <c r="I26" s="29" t="str">
        <f t="shared" si="2"/>
        <v>Smartphone Google</v>
      </c>
      <c r="J26" s="16">
        <v>800</v>
      </c>
      <c r="K26" s="16">
        <v>45</v>
      </c>
      <c r="L26" s="14" t="s">
        <v>28</v>
      </c>
    </row>
    <row r="27" spans="1:12" ht="12.95" customHeight="1" x14ac:dyDescent="0.2">
      <c r="A27" s="15" t="s">
        <v>145</v>
      </c>
      <c r="B27" s="15" t="s">
        <v>81</v>
      </c>
      <c r="C27" s="15" t="s">
        <v>99</v>
      </c>
      <c r="D27" s="15"/>
      <c r="E27" s="17">
        <v>25</v>
      </c>
      <c r="F27" s="15" t="s">
        <v>32</v>
      </c>
      <c r="G27" s="30">
        <f t="shared" si="0"/>
        <v>46176</v>
      </c>
      <c r="H27" s="31" t="str">
        <f t="shared" si="1"/>
        <v>CA</v>
      </c>
      <c r="I27" s="31" t="str">
        <f t="shared" si="2"/>
        <v>Sunglasses Ray-Ban</v>
      </c>
      <c r="J27" s="15">
        <v>309.35399999999998</v>
      </c>
      <c r="K27" s="17">
        <v>25</v>
      </c>
      <c r="L27" s="15" t="s">
        <v>32</v>
      </c>
    </row>
    <row r="28" spans="1:12" ht="12.95" customHeight="1" x14ac:dyDescent="0.2">
      <c r="A28" s="14" t="s">
        <v>146</v>
      </c>
      <c r="B28" s="14" t="s">
        <v>51</v>
      </c>
      <c r="C28" s="14" t="s">
        <v>101</v>
      </c>
      <c r="D28" s="16">
        <v>400</v>
      </c>
      <c r="E28" s="16">
        <v>40</v>
      </c>
      <c r="F28" s="14" t="s">
        <v>36</v>
      </c>
      <c r="G28" s="28">
        <f t="shared" si="0"/>
        <v>46214</v>
      </c>
      <c r="H28" s="29" t="str">
        <f t="shared" si="1"/>
        <v>CA</v>
      </c>
      <c r="I28" s="29" t="str">
        <f t="shared" si="2"/>
        <v>Blender Vitamix</v>
      </c>
      <c r="J28" s="16">
        <v>400</v>
      </c>
      <c r="K28" s="16">
        <v>40</v>
      </c>
      <c r="L28" s="14" t="s">
        <v>36</v>
      </c>
    </row>
    <row r="29" spans="1:12" ht="12.95" customHeight="1" x14ac:dyDescent="0.2">
      <c r="A29" s="15" t="s">
        <v>135</v>
      </c>
      <c r="B29" s="15" t="s">
        <v>70</v>
      </c>
      <c r="C29" s="15" t="s">
        <v>71</v>
      </c>
      <c r="D29" s="17">
        <v>250</v>
      </c>
      <c r="E29" s="17">
        <v>20</v>
      </c>
      <c r="F29" s="15" t="s">
        <v>46</v>
      </c>
      <c r="G29" s="30">
        <f t="shared" si="0"/>
        <v>46128</v>
      </c>
      <c r="H29" s="31" t="str">
        <f t="shared" si="1"/>
        <v>ES</v>
      </c>
      <c r="I29" s="31" t="str">
        <f t="shared" si="2"/>
        <v>headphones Bose</v>
      </c>
      <c r="J29" s="17">
        <v>250</v>
      </c>
      <c r="K29" s="17">
        <v>20</v>
      </c>
      <c r="L29" s="15" t="s">
        <v>28</v>
      </c>
    </row>
    <row r="30" spans="1:12" ht="12.95" customHeight="1" x14ac:dyDescent="0.2">
      <c r="A30" s="14" t="s">
        <v>147</v>
      </c>
      <c r="B30" s="14" t="s">
        <v>103</v>
      </c>
      <c r="C30" s="14" t="s">
        <v>104</v>
      </c>
      <c r="D30" s="16">
        <v>60</v>
      </c>
      <c r="E30" s="16">
        <v>30</v>
      </c>
      <c r="F30" s="14" t="s">
        <v>32</v>
      </c>
      <c r="G30" s="28">
        <f t="shared" si="0"/>
        <v>46088</v>
      </c>
      <c r="H30" s="29" t="str">
        <f t="shared" si="1"/>
        <v>CA</v>
      </c>
      <c r="I30" s="29" t="str">
        <f t="shared" si="2"/>
        <v>Dress Zara</v>
      </c>
      <c r="J30" s="16">
        <v>60</v>
      </c>
      <c r="K30" s="16">
        <v>30</v>
      </c>
      <c r="L30" s="14" t="s">
        <v>32</v>
      </c>
    </row>
    <row r="31" spans="1:12" ht="12.95" customHeight="1" x14ac:dyDescent="0.2">
      <c r="A31" s="15" t="s">
        <v>148</v>
      </c>
      <c r="B31" s="15" t="s">
        <v>106</v>
      </c>
      <c r="C31" s="15" t="s">
        <v>107</v>
      </c>
      <c r="D31" s="17">
        <v>40</v>
      </c>
      <c r="E31" s="17">
        <v>10</v>
      </c>
      <c r="F31" s="15" t="s">
        <v>36</v>
      </c>
      <c r="G31" s="30">
        <f t="shared" si="0"/>
        <v>46125</v>
      </c>
      <c r="H31" s="31" t="str">
        <f t="shared" si="1"/>
        <v>CA</v>
      </c>
      <c r="I31" s="31" t="str">
        <f t="shared" si="2"/>
        <v>Toaster Hamilton</v>
      </c>
      <c r="J31" s="17">
        <v>40</v>
      </c>
      <c r="K31" s="17">
        <v>10</v>
      </c>
      <c r="L31" s="15" t="s">
        <v>36</v>
      </c>
    </row>
    <row r="32" spans="1:12" ht="12.95" customHeight="1" x14ac:dyDescent="0.2">
      <c r="A32" s="14" t="s">
        <v>149</v>
      </c>
      <c r="B32" s="14" t="s">
        <v>93</v>
      </c>
      <c r="C32" s="14" t="s">
        <v>109</v>
      </c>
      <c r="D32" s="16">
        <v>130</v>
      </c>
      <c r="E32" s="16">
        <v>5</v>
      </c>
      <c r="F32" s="14" t="s">
        <v>28</v>
      </c>
      <c r="G32" s="28">
        <f t="shared" si="0"/>
        <v>46166</v>
      </c>
      <c r="H32" s="29" t="str">
        <f t="shared" si="1"/>
        <v>CA</v>
      </c>
      <c r="I32" s="29" t="str">
        <f t="shared" si="2"/>
        <v>Fitness Tracker Garmin</v>
      </c>
      <c r="J32" s="16">
        <v>130</v>
      </c>
      <c r="K32" s="16">
        <v>5</v>
      </c>
      <c r="L32" s="14" t="s">
        <v>28</v>
      </c>
    </row>
    <row r="33" spans="1:12" ht="12.95" customHeight="1" x14ac:dyDescent="0.2">
      <c r="A33" s="15" t="s">
        <v>150</v>
      </c>
      <c r="B33" s="15" t="s">
        <v>111</v>
      </c>
      <c r="C33" s="15" t="s">
        <v>112</v>
      </c>
      <c r="D33" s="17">
        <v>50</v>
      </c>
      <c r="E33" s="17">
        <v>50</v>
      </c>
      <c r="F33" s="15" t="s">
        <v>32</v>
      </c>
      <c r="G33" s="30">
        <f t="shared" si="0"/>
        <v>46358</v>
      </c>
      <c r="H33" s="31" t="str">
        <f t="shared" si="1"/>
        <v>CA</v>
      </c>
      <c r="I33" s="31" t="str">
        <f t="shared" si="2"/>
        <v>Jeans Levi's</v>
      </c>
      <c r="J33" s="17">
        <v>50</v>
      </c>
      <c r="K33" s="17">
        <v>50</v>
      </c>
      <c r="L33" s="15" t="s">
        <v>32</v>
      </c>
    </row>
    <row r="34" spans="1:12" ht="12.95" customHeight="1" x14ac:dyDescent="0.2">
      <c r="A34" s="14" t="s">
        <v>151</v>
      </c>
      <c r="B34" s="14" t="s">
        <v>61</v>
      </c>
      <c r="C34" s="14" t="s">
        <v>62</v>
      </c>
      <c r="D34" s="16">
        <v>950</v>
      </c>
      <c r="E34" s="16">
        <v>25</v>
      </c>
      <c r="F34" s="14" t="s">
        <v>28</v>
      </c>
      <c r="G34" s="28">
        <f t="shared" si="0"/>
        <v>46190</v>
      </c>
      <c r="H34" s="29" t="str">
        <f t="shared" si="1"/>
        <v>IN</v>
      </c>
      <c r="I34" s="29" t="str">
        <f t="shared" si="2"/>
        <v>Laptop HP</v>
      </c>
      <c r="J34" s="16">
        <v>950</v>
      </c>
      <c r="K34" s="16">
        <v>25</v>
      </c>
      <c r="L34" s="14" t="s">
        <v>28</v>
      </c>
    </row>
    <row r="35" spans="1:12" ht="12.95" customHeight="1" x14ac:dyDescent="0.2">
      <c r="A35" s="15" t="s">
        <v>152</v>
      </c>
      <c r="B35" s="15" t="s">
        <v>114</v>
      </c>
      <c r="C35" s="15" t="s">
        <v>115</v>
      </c>
      <c r="D35" s="17">
        <v>100</v>
      </c>
      <c r="E35" s="17">
        <v>20</v>
      </c>
      <c r="F35" s="15" t="s">
        <v>75</v>
      </c>
      <c r="G35" s="30">
        <f t="shared" si="0"/>
        <v>46212</v>
      </c>
      <c r="H35" s="31" t="str">
        <f t="shared" si="1"/>
        <v>FR</v>
      </c>
      <c r="I35" s="31" t="str">
        <f t="shared" si="2"/>
        <v>Watch Casio</v>
      </c>
      <c r="J35" s="17">
        <v>100</v>
      </c>
      <c r="K35" s="17">
        <v>20</v>
      </c>
      <c r="L35" s="15" t="s">
        <v>75</v>
      </c>
    </row>
  </sheetData>
  <mergeCells count="1">
    <mergeCell ref="O4:R5"/>
  </mergeCells>
  <conditionalFormatting sqref="J2:J35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{52F56347-E2DB-48E6-8D9E-F1636E2EC7FE}</x14:id>
        </ext>
      </extLst>
    </cfRule>
  </conditionalFormatting>
  <conditionalFormatting sqref="L2:L35">
    <cfRule type="containsText" dxfId="2" priority="3" operator="containsText" text="Electronics">
      <formula>NOT(ISERROR(SEARCH("Electronics",L2)))</formula>
    </cfRule>
  </conditionalFormatting>
  <conditionalFormatting sqref="J1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{14DC3173-5082-4FFC-9FE8-2429426E0D40}</x14:id>
        </ext>
      </extLst>
    </cfRule>
  </conditionalFormatting>
  <conditionalFormatting sqref="L1">
    <cfRule type="containsText" dxfId="0" priority="1" operator="containsText" text="Electronics">
      <formula>NOT(ISERROR(SEARCH("Electronics",L1)))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F56347-E2DB-48E6-8D9E-F1636E2EC7F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J2:J35</xm:sqref>
        </x14:conditionalFormatting>
        <x14:conditionalFormatting xmlns:xm="http://schemas.microsoft.com/office/excel/2006/main">
          <x14:cfRule type="dataBar" id="{14DC3173-5082-4FFC-9FE8-2429426E0D4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Instructions</vt:lpstr>
      <vt:lpstr>Dataset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Nidhina Mukundan K P</cp:lastModifiedBy>
  <dcterms:created xsi:type="dcterms:W3CDTF">2026-09-29T18:26:01Z</dcterms:created>
  <dcterms:modified xsi:type="dcterms:W3CDTF">2026-09-29T18:26:01Z</dcterms:modified>
</cp:coreProperties>
</file>